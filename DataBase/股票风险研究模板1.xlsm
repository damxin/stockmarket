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20" yWindow="-120" windowWidth="20640" windowHeight="11760"/>
  </bookViews>
  <sheets>
    <sheet name="造假识别" sheetId="3" r:id="rId1"/>
    <sheet name="主要指标" sheetId="6" r:id="rId2"/>
    <sheet name="资产负债表" sheetId="7" r:id="rId3"/>
    <sheet name="利润表" sheetId="8" r:id="rId4"/>
    <sheet name="现金流量表" sheetId="9" r:id="rId5"/>
  </sheets>
  <definedNames>
    <definedName name="_xlnm.Print_Area" localSheetId="0">造假识别!$A$1:$K$135</definedName>
    <definedName name="_xlnm.Print_Titles" localSheetId="0">造假识别!$A:$A,造假识别!$1:$9</definedName>
  </definedNames>
  <calcPr calcId="144525"/>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53" i="3" l="1"/>
  <c r="B5" i="3" l="1"/>
  <c r="B121" i="3" l="1"/>
  <c r="B124" i="3"/>
  <c r="B125" i="3"/>
  <c r="B127" i="3"/>
  <c r="B130" i="3"/>
  <c r="B133" i="3"/>
  <c r="B134" i="3"/>
  <c r="B66" i="3" l="1"/>
  <c r="B65" i="3"/>
  <c r="B64" i="3"/>
  <c r="B59" i="3"/>
  <c r="B58" i="3"/>
  <c r="B54" i="3"/>
  <c r="B50" i="3"/>
  <c r="B46" i="3"/>
  <c r="B131" i="3" s="1"/>
  <c r="B42" i="3"/>
  <c r="B129" i="3" s="1"/>
  <c r="B35" i="3"/>
  <c r="B36" i="3"/>
  <c r="B34" i="3"/>
  <c r="B123" i="3" s="1"/>
  <c r="B8" i="3"/>
  <c r="B7" i="3"/>
  <c r="B128" i="3" s="1"/>
  <c r="B6" i="3"/>
  <c r="B122" i="3" s="1"/>
  <c r="B9" i="3"/>
  <c r="B32" i="3"/>
  <c r="B31" i="3"/>
  <c r="B28" i="3"/>
  <c r="B67" i="3" l="1"/>
  <c r="B33" i="3" l="1"/>
  <c r="B63" i="3" l="1"/>
  <c r="B86" i="3"/>
  <c r="B68" i="3" l="1"/>
  <c r="B70" i="3" s="1"/>
  <c r="K99" i="3" l="1"/>
  <c r="J99" i="3"/>
  <c r="I99" i="3"/>
  <c r="H99" i="3"/>
  <c r="G99" i="3"/>
  <c r="F99" i="3"/>
  <c r="E99" i="3"/>
  <c r="D99" i="3"/>
  <c r="C99" i="3"/>
  <c r="B99" i="3"/>
  <c r="B94" i="3"/>
  <c r="B78" i="3"/>
  <c r="K24" i="3" l="1"/>
  <c r="J24" i="3"/>
  <c r="I24" i="3"/>
  <c r="H24" i="3"/>
  <c r="G24" i="3"/>
  <c r="F24" i="3"/>
  <c r="E24" i="3"/>
  <c r="D24" i="3"/>
  <c r="C24" i="3"/>
  <c r="B24" i="3"/>
  <c r="K22" i="3"/>
  <c r="J22" i="3"/>
  <c r="I22" i="3"/>
  <c r="H22" i="3"/>
  <c r="G22" i="3"/>
  <c r="F22" i="3"/>
  <c r="E22" i="3"/>
  <c r="D22" i="3"/>
  <c r="C22" i="3"/>
  <c r="B22" i="3"/>
  <c r="B39" i="3"/>
  <c r="C3" i="3"/>
  <c r="C5" i="3" l="1"/>
  <c r="C130" i="3"/>
  <c r="C121" i="3"/>
  <c r="C125" i="3"/>
  <c r="C134" i="3"/>
  <c r="B135" i="3" s="1"/>
  <c r="C127" i="3"/>
  <c r="C124" i="3"/>
  <c r="C133" i="3"/>
  <c r="C64" i="3"/>
  <c r="C50" i="3"/>
  <c r="C53" i="3" s="1"/>
  <c r="C42" i="3"/>
  <c r="C129" i="3" s="1"/>
  <c r="C35" i="3"/>
  <c r="C8" i="3"/>
  <c r="C9" i="3"/>
  <c r="C31" i="3"/>
  <c r="C28" i="3"/>
  <c r="C65" i="3"/>
  <c r="C32" i="3"/>
  <c r="C66" i="3"/>
  <c r="C58" i="3"/>
  <c r="C54" i="3"/>
  <c r="C46" i="3"/>
  <c r="C131" i="3" s="1"/>
  <c r="C36" i="3"/>
  <c r="C34" i="3"/>
  <c r="C6" i="3"/>
  <c r="C122" i="3" s="1"/>
  <c r="C59" i="3"/>
  <c r="C7" i="3"/>
  <c r="C128" i="3" s="1"/>
  <c r="B25" i="3"/>
  <c r="B27" i="3" s="1"/>
  <c r="C25" i="3"/>
  <c r="C27" i="3" s="1"/>
  <c r="B23" i="3"/>
  <c r="D3" i="3"/>
  <c r="C33" i="3" l="1"/>
  <c r="D5" i="3"/>
  <c r="C30" i="3"/>
  <c r="C23" i="3"/>
  <c r="C67" i="3"/>
  <c r="D124" i="3"/>
  <c r="D133" i="3"/>
  <c r="D134" i="3"/>
  <c r="D127" i="3"/>
  <c r="D130" i="3"/>
  <c r="D121" i="3"/>
  <c r="D125" i="3"/>
  <c r="D59" i="3"/>
  <c r="D42" i="3"/>
  <c r="D129" i="3" s="1"/>
  <c r="D7" i="3"/>
  <c r="D128" i="3" s="1"/>
  <c r="D31" i="3"/>
  <c r="D32" i="3"/>
  <c r="D28" i="3"/>
  <c r="D54" i="3"/>
  <c r="D35" i="3"/>
  <c r="D8" i="3"/>
  <c r="D64" i="3"/>
  <c r="D46" i="3"/>
  <c r="D131" i="3" s="1"/>
  <c r="D9" i="3"/>
  <c r="D65" i="3"/>
  <c r="D34" i="3"/>
  <c r="D66" i="3"/>
  <c r="D58" i="3"/>
  <c r="D63" i="3" s="1"/>
  <c r="D50" i="3"/>
  <c r="D36" i="3"/>
  <c r="D6" i="3"/>
  <c r="C123" i="3"/>
  <c r="C39" i="3"/>
  <c r="C63" i="3"/>
  <c r="B132" i="3"/>
  <c r="D33" i="3"/>
  <c r="D25" i="3"/>
  <c r="D27" i="3" s="1"/>
  <c r="E3" i="3"/>
  <c r="E5" i="3" l="1"/>
  <c r="D30" i="3"/>
  <c r="C132" i="3"/>
  <c r="B126" i="3"/>
  <c r="C135" i="3"/>
  <c r="C68" i="3"/>
  <c r="C70" i="3" s="1"/>
  <c r="D122" i="3"/>
  <c r="D23" i="3"/>
  <c r="E127" i="3"/>
  <c r="E125" i="3"/>
  <c r="E124" i="3"/>
  <c r="E133" i="3"/>
  <c r="E130" i="3"/>
  <c r="E121" i="3"/>
  <c r="E134" i="3"/>
  <c r="D135" i="3" s="1"/>
  <c r="E66" i="3"/>
  <c r="E58" i="3"/>
  <c r="E54" i="3"/>
  <c r="E46" i="3"/>
  <c r="E131" i="3" s="1"/>
  <c r="E6" i="3"/>
  <c r="E7" i="3"/>
  <c r="E128" i="3" s="1"/>
  <c r="E28" i="3"/>
  <c r="E59" i="3"/>
  <c r="E42" i="3"/>
  <c r="E129" i="3" s="1"/>
  <c r="E31" i="3"/>
  <c r="E32" i="3"/>
  <c r="E64" i="3"/>
  <c r="E50" i="3"/>
  <c r="E35" i="3"/>
  <c r="E8" i="3"/>
  <c r="E9" i="3"/>
  <c r="E65" i="3"/>
  <c r="E36" i="3"/>
  <c r="E34" i="3"/>
  <c r="D123" i="3"/>
  <c r="C126" i="3" s="1"/>
  <c r="D39" i="3"/>
  <c r="D67" i="3"/>
  <c r="D68" i="3" s="1"/>
  <c r="D70" i="3" s="1"/>
  <c r="E25" i="3"/>
  <c r="E27" i="3" s="1"/>
  <c r="F3" i="3"/>
  <c r="F5" i="3" l="1"/>
  <c r="E30" i="3"/>
  <c r="D132" i="3"/>
  <c r="E33" i="3"/>
  <c r="E63" i="3"/>
  <c r="E123" i="3"/>
  <c r="D126" i="3" s="1"/>
  <c r="E39" i="3"/>
  <c r="F121" i="3"/>
  <c r="F125" i="3"/>
  <c r="F134" i="3"/>
  <c r="E135" i="3" s="1"/>
  <c r="F127" i="3"/>
  <c r="F124" i="3"/>
  <c r="F133" i="3"/>
  <c r="F130" i="3"/>
  <c r="F65" i="3"/>
  <c r="F35" i="3"/>
  <c r="F34" i="3"/>
  <c r="F50" i="3"/>
  <c r="F36" i="3"/>
  <c r="F66" i="3"/>
  <c r="F58" i="3"/>
  <c r="F63" i="3" s="1"/>
  <c r="F6" i="3"/>
  <c r="F59" i="3"/>
  <c r="F42" i="3"/>
  <c r="F129" i="3" s="1"/>
  <c r="F7" i="3"/>
  <c r="F128" i="3" s="1"/>
  <c r="F31" i="3"/>
  <c r="F32" i="3"/>
  <c r="F28" i="3"/>
  <c r="F64" i="3"/>
  <c r="F54" i="3"/>
  <c r="F46" i="3"/>
  <c r="F131" i="3" s="1"/>
  <c r="F8" i="3"/>
  <c r="F9" i="3"/>
  <c r="E122" i="3"/>
  <c r="E23" i="3"/>
  <c r="E67" i="3"/>
  <c r="F25" i="3"/>
  <c r="F27" i="3" s="1"/>
  <c r="G3" i="3"/>
  <c r="G5" i="3" l="1"/>
  <c r="E68" i="3"/>
  <c r="E70" i="3" s="1"/>
  <c r="F33" i="3"/>
  <c r="F30" i="3"/>
  <c r="F67" i="3"/>
  <c r="F68" i="3" s="1"/>
  <c r="F70" i="3" s="1"/>
  <c r="E132" i="3"/>
  <c r="F122" i="3"/>
  <c r="F23" i="3"/>
  <c r="F123" i="3"/>
  <c r="E126" i="3" s="1"/>
  <c r="F39" i="3"/>
  <c r="G130" i="3"/>
  <c r="G124" i="3"/>
  <c r="G121" i="3"/>
  <c r="G125" i="3"/>
  <c r="G134" i="3"/>
  <c r="F135" i="3" s="1"/>
  <c r="G127" i="3"/>
  <c r="G133" i="3"/>
  <c r="G64" i="3"/>
  <c r="G50" i="3"/>
  <c r="G8" i="3"/>
  <c r="G9" i="3"/>
  <c r="G34" i="3"/>
  <c r="G31" i="3"/>
  <c r="G32" i="3"/>
  <c r="G28" i="3"/>
  <c r="G65" i="3"/>
  <c r="G66" i="3"/>
  <c r="G58" i="3"/>
  <c r="G54" i="3"/>
  <c r="G46" i="3"/>
  <c r="G131" i="3" s="1"/>
  <c r="G35" i="3"/>
  <c r="G6" i="3"/>
  <c r="G59" i="3"/>
  <c r="G42" i="3"/>
  <c r="G129" i="3" s="1"/>
  <c r="G36" i="3"/>
  <c r="G7" i="3"/>
  <c r="G128" i="3" s="1"/>
  <c r="G25" i="3"/>
  <c r="G27" i="3" s="1"/>
  <c r="H3" i="3"/>
  <c r="H53" i="3" s="1"/>
  <c r="H5" i="3" l="1"/>
  <c r="G33" i="3"/>
  <c r="F132" i="3"/>
  <c r="G63" i="3"/>
  <c r="H124" i="3"/>
  <c r="H133" i="3"/>
  <c r="H130" i="3"/>
  <c r="H121" i="3"/>
  <c r="H125" i="3"/>
  <c r="H134" i="3"/>
  <c r="H127" i="3"/>
  <c r="H59" i="3"/>
  <c r="H42" i="3"/>
  <c r="H129" i="3" s="1"/>
  <c r="G132" i="3" s="1"/>
  <c r="H36" i="3"/>
  <c r="H7" i="3"/>
  <c r="H128" i="3" s="1"/>
  <c r="H31" i="3"/>
  <c r="H32" i="3"/>
  <c r="H33" i="3" s="1"/>
  <c r="H28" i="3"/>
  <c r="H54" i="3"/>
  <c r="H8" i="3"/>
  <c r="H9" i="3"/>
  <c r="H64" i="3"/>
  <c r="H46" i="3"/>
  <c r="H131" i="3" s="1"/>
  <c r="H65" i="3"/>
  <c r="H34" i="3"/>
  <c r="H66" i="3"/>
  <c r="H58" i="3"/>
  <c r="H50" i="3"/>
  <c r="H35" i="3"/>
  <c r="H6" i="3"/>
  <c r="G30" i="3"/>
  <c r="G122" i="3"/>
  <c r="G23" i="3"/>
  <c r="G123" i="3"/>
  <c r="F126" i="3" s="1"/>
  <c r="G39" i="3"/>
  <c r="G67" i="3"/>
  <c r="G68" i="3" s="1"/>
  <c r="G70" i="3" s="1"/>
  <c r="H30" i="3"/>
  <c r="H25" i="3"/>
  <c r="H27" i="3" s="1"/>
  <c r="I3" i="3"/>
  <c r="I53" i="3" s="1"/>
  <c r="I5" i="3" l="1"/>
  <c r="H63" i="3"/>
  <c r="H122" i="3"/>
  <c r="H17" i="3"/>
  <c r="H23" i="3"/>
  <c r="H67" i="3"/>
  <c r="H68" i="3" s="1"/>
  <c r="H70" i="3" s="1"/>
  <c r="G135" i="3"/>
  <c r="I127" i="3"/>
  <c r="I121" i="3"/>
  <c r="I124" i="3"/>
  <c r="I133" i="3"/>
  <c r="I130" i="3"/>
  <c r="I125" i="3"/>
  <c r="I134" i="3"/>
  <c r="H135" i="3" s="1"/>
  <c r="I66" i="3"/>
  <c r="I58" i="3"/>
  <c r="I54" i="3"/>
  <c r="I46" i="3"/>
  <c r="I131" i="3" s="1"/>
  <c r="I35" i="3"/>
  <c r="I6" i="3"/>
  <c r="I42" i="3"/>
  <c r="I129" i="3" s="1"/>
  <c r="H132" i="3" s="1"/>
  <c r="I36" i="3"/>
  <c r="I7" i="3"/>
  <c r="I128" i="3" s="1"/>
  <c r="I28" i="3"/>
  <c r="I59" i="3"/>
  <c r="I31" i="3"/>
  <c r="I32" i="3"/>
  <c r="I64" i="3"/>
  <c r="I50" i="3"/>
  <c r="I8" i="3"/>
  <c r="I9" i="3"/>
  <c r="I65" i="3"/>
  <c r="I34" i="3"/>
  <c r="H123" i="3"/>
  <c r="G126" i="3" s="1"/>
  <c r="H39" i="3"/>
  <c r="I33" i="3"/>
  <c r="I25" i="3"/>
  <c r="I27" i="3" s="1"/>
  <c r="I30" i="3"/>
  <c r="J3" i="3"/>
  <c r="J53" i="3" s="1"/>
  <c r="B19" i="3"/>
  <c r="B21" i="3" s="1"/>
  <c r="C19" i="3"/>
  <c r="C21" i="3" s="1"/>
  <c r="D19" i="3"/>
  <c r="D21" i="3" s="1"/>
  <c r="E19" i="3"/>
  <c r="E21" i="3" s="1"/>
  <c r="J5" i="3" l="1"/>
  <c r="I67" i="3"/>
  <c r="I122" i="3"/>
  <c r="I23" i="3"/>
  <c r="I63" i="3"/>
  <c r="I123" i="3"/>
  <c r="H126" i="3" s="1"/>
  <c r="I39" i="3"/>
  <c r="J121" i="3"/>
  <c r="J125" i="3"/>
  <c r="J134" i="3"/>
  <c r="I135" i="3" s="1"/>
  <c r="J127" i="3"/>
  <c r="J124" i="3"/>
  <c r="J133" i="3"/>
  <c r="J130" i="3"/>
  <c r="J65" i="3"/>
  <c r="J34" i="3"/>
  <c r="J50" i="3"/>
  <c r="J35" i="3"/>
  <c r="J6" i="3"/>
  <c r="J66" i="3"/>
  <c r="J58" i="3"/>
  <c r="J59" i="3"/>
  <c r="J42" i="3"/>
  <c r="J129" i="3" s="1"/>
  <c r="I132" i="3" s="1"/>
  <c r="J36" i="3"/>
  <c r="J7" i="3"/>
  <c r="J128" i="3" s="1"/>
  <c r="J31" i="3"/>
  <c r="J32" i="3"/>
  <c r="J28" i="3"/>
  <c r="J64" i="3"/>
  <c r="J54" i="3"/>
  <c r="J46" i="3"/>
  <c r="J131" i="3" s="1"/>
  <c r="J8" i="3"/>
  <c r="J9" i="3"/>
  <c r="J33" i="3"/>
  <c r="J70" i="3"/>
  <c r="J30" i="3"/>
  <c r="J25" i="3"/>
  <c r="J27" i="3" s="1"/>
  <c r="K3" i="3"/>
  <c r="K53" i="3" s="1"/>
  <c r="K116" i="3"/>
  <c r="C116" i="3"/>
  <c r="D116" i="3"/>
  <c r="E116" i="3"/>
  <c r="F116" i="3"/>
  <c r="G116" i="3"/>
  <c r="H116" i="3"/>
  <c r="I116" i="3"/>
  <c r="J116" i="3"/>
  <c r="B116" i="3"/>
  <c r="K5" i="3" l="1"/>
  <c r="J67" i="3"/>
  <c r="J63" i="3"/>
  <c r="J68" i="3" s="1"/>
  <c r="I68" i="3"/>
  <c r="I70" i="3" s="1"/>
  <c r="K126" i="3"/>
  <c r="K130" i="3"/>
  <c r="K135" i="3"/>
  <c r="K121" i="3"/>
  <c r="K125" i="3"/>
  <c r="K132" i="3"/>
  <c r="K134" i="3"/>
  <c r="J135" i="3" s="1"/>
  <c r="K127" i="3"/>
  <c r="K124" i="3"/>
  <c r="K133" i="3"/>
  <c r="K64" i="3"/>
  <c r="K50" i="3"/>
  <c r="K8" i="3"/>
  <c r="K9" i="3"/>
  <c r="K34" i="3"/>
  <c r="K31" i="3"/>
  <c r="K32" i="3"/>
  <c r="K33" i="3" s="1"/>
  <c r="K28" i="3"/>
  <c r="K65" i="3"/>
  <c r="K66" i="3"/>
  <c r="K58" i="3"/>
  <c r="K54" i="3"/>
  <c r="K46" i="3"/>
  <c r="K131" i="3" s="1"/>
  <c r="K35" i="3"/>
  <c r="K6" i="3"/>
  <c r="K59" i="3"/>
  <c r="K60" i="3" s="1"/>
  <c r="K62" i="3" s="1"/>
  <c r="K42" i="3"/>
  <c r="K129" i="3" s="1"/>
  <c r="K36" i="3"/>
  <c r="K7" i="3"/>
  <c r="K128" i="3" s="1"/>
  <c r="J38" i="3"/>
  <c r="E38" i="3"/>
  <c r="J123" i="3"/>
  <c r="J39" i="3"/>
  <c r="J122" i="3"/>
  <c r="J23" i="3"/>
  <c r="I126" i="3"/>
  <c r="K30" i="3"/>
  <c r="K25" i="3"/>
  <c r="K27" i="3" s="1"/>
  <c r="B55" i="3"/>
  <c r="B57" i="3" s="1"/>
  <c r="C55" i="3"/>
  <c r="C57" i="3" s="1"/>
  <c r="D55" i="3"/>
  <c r="D57" i="3" s="1"/>
  <c r="E55" i="3"/>
  <c r="E57" i="3" s="1"/>
  <c r="G55" i="3"/>
  <c r="G57" i="3" s="1"/>
  <c r="H55" i="3"/>
  <c r="H57" i="3" s="1"/>
  <c r="I55" i="3"/>
  <c r="I57" i="3" s="1"/>
  <c r="J55" i="3"/>
  <c r="J57" i="3" s="1"/>
  <c r="F55" i="3"/>
  <c r="F57" i="3" s="1"/>
  <c r="C117" i="3"/>
  <c r="C119" i="3" s="1"/>
  <c r="D117" i="3"/>
  <c r="D119" i="3" s="1"/>
  <c r="E117" i="3"/>
  <c r="E119" i="3" s="1"/>
  <c r="G117" i="3"/>
  <c r="G119" i="3" s="1"/>
  <c r="I117" i="3"/>
  <c r="I119" i="3" s="1"/>
  <c r="J117" i="3"/>
  <c r="J119" i="3" s="1"/>
  <c r="K117" i="3"/>
  <c r="K119" i="3" s="1"/>
  <c r="B117" i="3"/>
  <c r="B119" i="3" s="1"/>
  <c r="F117" i="3"/>
  <c r="F119" i="3" s="1"/>
  <c r="H19" i="3"/>
  <c r="H21" i="3" s="1"/>
  <c r="I19" i="3"/>
  <c r="I21" i="3" s="1"/>
  <c r="J19" i="3"/>
  <c r="J21" i="3" s="1"/>
  <c r="K19" i="3"/>
  <c r="K21" i="3" s="1"/>
  <c r="F19" i="3"/>
  <c r="F21" i="3" s="1"/>
  <c r="G19" i="3"/>
  <c r="G21" i="3" s="1"/>
  <c r="C17" i="3"/>
  <c r="D17" i="3"/>
  <c r="E17" i="3"/>
  <c r="F17" i="3"/>
  <c r="G17" i="3"/>
  <c r="I17" i="3"/>
  <c r="J17" i="3"/>
  <c r="K17" i="3"/>
  <c r="H117" i="3"/>
  <c r="H119" i="3" s="1"/>
  <c r="C60" i="3"/>
  <c r="C62" i="3" s="1"/>
  <c r="D60" i="3"/>
  <c r="D62" i="3" s="1"/>
  <c r="E60" i="3"/>
  <c r="E62" i="3" s="1"/>
  <c r="F60" i="3"/>
  <c r="F62" i="3" s="1"/>
  <c r="G60" i="3"/>
  <c r="G62" i="3" s="1"/>
  <c r="H60" i="3"/>
  <c r="H62" i="3" s="1"/>
  <c r="I60" i="3"/>
  <c r="I62" i="3" s="1"/>
  <c r="J60" i="3"/>
  <c r="J62" i="3" s="1"/>
  <c r="B60" i="3"/>
  <c r="B62" i="3" s="1"/>
  <c r="C51" i="3"/>
  <c r="D51" i="3"/>
  <c r="E51" i="3"/>
  <c r="F51" i="3"/>
  <c r="G51" i="3"/>
  <c r="H51" i="3"/>
  <c r="I51" i="3"/>
  <c r="J51" i="3"/>
  <c r="K51" i="3"/>
  <c r="B51" i="3"/>
  <c r="C47" i="3"/>
  <c r="D47" i="3"/>
  <c r="E47" i="3"/>
  <c r="F47" i="3"/>
  <c r="G47" i="3"/>
  <c r="H47" i="3"/>
  <c r="I47" i="3"/>
  <c r="J47" i="3"/>
  <c r="B47" i="3"/>
  <c r="C43" i="3"/>
  <c r="D43" i="3"/>
  <c r="E43" i="3"/>
  <c r="F43" i="3"/>
  <c r="G43" i="3"/>
  <c r="H43" i="3"/>
  <c r="I43" i="3"/>
  <c r="J43" i="3"/>
  <c r="B43" i="3"/>
  <c r="K37" i="3"/>
  <c r="C37" i="3"/>
  <c r="D37" i="3"/>
  <c r="E37" i="3"/>
  <c r="F37" i="3"/>
  <c r="G37" i="3"/>
  <c r="H37" i="3"/>
  <c r="I37" i="3"/>
  <c r="J37" i="3"/>
  <c r="B37" i="3"/>
  <c r="C13" i="3"/>
  <c r="C15" i="3" s="1"/>
  <c r="D13" i="3"/>
  <c r="D15" i="3" s="1"/>
  <c r="E13" i="3"/>
  <c r="E15" i="3" s="1"/>
  <c r="F13" i="3"/>
  <c r="F15" i="3" s="1"/>
  <c r="G13" i="3"/>
  <c r="G15" i="3" s="1"/>
  <c r="H13" i="3"/>
  <c r="H15" i="3" s="1"/>
  <c r="I13" i="3"/>
  <c r="I15" i="3" s="1"/>
  <c r="J13" i="3"/>
  <c r="J15" i="3" s="1"/>
  <c r="K13" i="3"/>
  <c r="K15" i="3" s="1"/>
  <c r="B13" i="3"/>
  <c r="B15" i="3" s="1"/>
  <c r="C11" i="3"/>
  <c r="D11" i="3"/>
  <c r="E11" i="3"/>
  <c r="F11" i="3"/>
  <c r="G11" i="3"/>
  <c r="H11" i="3"/>
  <c r="I11" i="3"/>
  <c r="J11" i="3"/>
  <c r="K11" i="3"/>
  <c r="B11" i="3"/>
  <c r="B17" i="3"/>
  <c r="E53" i="3" l="1"/>
  <c r="D53" i="3"/>
  <c r="K43" i="3"/>
  <c r="B45" i="3" s="1"/>
  <c r="F53" i="3"/>
  <c r="G53" i="3"/>
  <c r="K55" i="3"/>
  <c r="K57" i="3" s="1"/>
  <c r="K47" i="3"/>
  <c r="B49" i="3" s="1"/>
  <c r="J132" i="3"/>
  <c r="K122" i="3"/>
  <c r="K23" i="3"/>
  <c r="K63" i="3"/>
  <c r="K38" i="3"/>
  <c r="C38" i="3"/>
  <c r="B38" i="3"/>
  <c r="I38" i="3"/>
  <c r="H38" i="3"/>
  <c r="F38" i="3"/>
  <c r="G38" i="3"/>
  <c r="D38" i="3"/>
  <c r="H41" i="3"/>
  <c r="K123" i="3"/>
  <c r="J126" i="3" s="1"/>
  <c r="K39" i="3"/>
  <c r="I41" i="3" s="1"/>
  <c r="K67" i="3"/>
  <c r="K49" i="3"/>
  <c r="G45" i="3"/>
  <c r="K45" i="3"/>
  <c r="C49" i="3"/>
  <c r="J49" i="3"/>
  <c r="F49" i="3"/>
  <c r="I49" i="3"/>
  <c r="E49" i="3"/>
  <c r="H49" i="3"/>
  <c r="I45" i="3"/>
  <c r="H45" i="3"/>
  <c r="C45" i="3"/>
  <c r="J45" i="3"/>
  <c r="F45" i="3"/>
  <c r="D45" i="3" l="1"/>
  <c r="D49" i="3"/>
  <c r="G49" i="3"/>
  <c r="E45" i="3"/>
  <c r="F41" i="3"/>
  <c r="E41" i="3"/>
  <c r="B41" i="3"/>
  <c r="K41" i="3"/>
  <c r="C41" i="3"/>
  <c r="D41" i="3"/>
  <c r="G41" i="3"/>
  <c r="K68" i="3"/>
  <c r="K70" i="3" s="1"/>
  <c r="J41" i="3"/>
  <c r="B30" i="3" l="1"/>
  <c r="H4" i="3" s="1"/>
  <c r="C4" i="3" l="1"/>
  <c r="G4" i="3"/>
  <c r="F4" i="3"/>
  <c r="B4" i="3"/>
  <c r="E4" i="3"/>
  <c r="D4" i="3"/>
  <c r="J4" i="3"/>
  <c r="I4" i="3"/>
  <c r="K4" i="3"/>
  <c r="G1" i="3" l="1"/>
  <c r="E1" i="3"/>
</calcChain>
</file>

<file path=xl/comments1.xml><?xml version="1.0" encoding="utf-8"?>
<comments xmlns="http://schemas.openxmlformats.org/spreadsheetml/2006/main">
  <authors>
    <author>DS19</author>
  </authors>
  <commentList>
    <comment ref="A10" authorId="0">
      <text>
        <r>
          <rPr>
            <b/>
            <sz val="9"/>
            <color indexed="81"/>
            <rFont val="宋体"/>
            <family val="3"/>
            <charset val="134"/>
          </rPr>
          <t>DS19:</t>
        </r>
        <r>
          <rPr>
            <sz val="9"/>
            <color indexed="81"/>
            <rFont val="宋体"/>
            <family val="3"/>
            <charset val="134"/>
          </rPr>
          <t xml:space="preserve">
关键字：银行存款</t>
        </r>
      </text>
    </comment>
  </commentList>
</comments>
</file>

<file path=xl/sharedStrings.xml><?xml version="1.0" encoding="utf-8"?>
<sst xmlns="http://schemas.openxmlformats.org/spreadsheetml/2006/main" count="892" uniqueCount="356">
  <si>
    <t>科目\时间</t>
  </si>
  <si>
    <t>应收票据及应收账款(元)</t>
  </si>
  <si>
    <t>其中：应收票据(元)</t>
  </si>
  <si>
    <t>预付款项(元)</t>
  </si>
  <si>
    <t>存货(元)</t>
  </si>
  <si>
    <t>其中：营业收入(元)</t>
  </si>
  <si>
    <t>二、营业总成本(元)</t>
  </si>
  <si>
    <t>其中：营业成本(元)</t>
  </si>
  <si>
    <t>营业税金及附加(元)</t>
  </si>
  <si>
    <t>销售费用(元)</t>
  </si>
  <si>
    <t>管理费用(元)</t>
  </si>
  <si>
    <t>研发费用(元)</t>
  </si>
  <si>
    <t>销售商品、提供劳务收到的现金(元)</t>
  </si>
  <si>
    <t>收到其他与经营活动有关的现金(元)</t>
  </si>
  <si>
    <t>经营活动现金流入小计(元)</t>
  </si>
  <si>
    <t>经营活动现金流出小计(元)</t>
  </si>
  <si>
    <t>经营活动产生的现金流量净额(元)</t>
  </si>
  <si>
    <t>合计</t>
    <phoneticPr fontId="2" type="noConversion"/>
  </si>
  <si>
    <t>无形资产摊销(元)</t>
  </si>
  <si>
    <t>长期待摊费用摊销(元)</t>
  </si>
  <si>
    <t>--</t>
  </si>
  <si>
    <t>大于</t>
    <phoneticPr fontId="5" type="noConversion"/>
  </si>
  <si>
    <t>小于等于</t>
    <phoneticPr fontId="5" type="noConversion"/>
  </si>
  <si>
    <t>大于等于</t>
    <phoneticPr fontId="5" type="noConversion"/>
  </si>
  <si>
    <t>倍的十年平均值</t>
    <phoneticPr fontId="5" type="noConversion"/>
  </si>
  <si>
    <t>搜索关键字：</t>
    <phoneticPr fontId="5" type="noConversion"/>
  </si>
  <si>
    <t>正常</t>
    <phoneticPr fontId="5" type="noConversion"/>
  </si>
  <si>
    <t>勾稽精度设置</t>
    <phoneticPr fontId="5" type="noConversion"/>
  </si>
  <si>
    <t>且</t>
    <phoneticPr fontId="5" type="noConversion"/>
  </si>
  <si>
    <t>注：本简法勾稽因精度太差失去意义。</t>
    <phoneticPr fontId="5" type="noConversion"/>
  </si>
  <si>
    <t>小于</t>
    <phoneticPr fontId="5" type="noConversion"/>
  </si>
  <si>
    <t>结论</t>
    <phoneticPr fontId="2" type="noConversion"/>
  </si>
  <si>
    <t>大于</t>
    <phoneticPr fontId="2" type="noConversion"/>
  </si>
  <si>
    <t>存货(元)</t>
    <phoneticPr fontId="2" type="noConversion"/>
  </si>
  <si>
    <t>其他应收款合计(元)</t>
  </si>
  <si>
    <t>其他应收款(元)</t>
  </si>
  <si>
    <t>为过高</t>
    <phoneticPr fontId="5" type="noConversion"/>
  </si>
  <si>
    <t>为正常，其他为过低或过高</t>
    <phoneticPr fontId="5" type="noConversion"/>
  </si>
  <si>
    <t>为过高，其他为正常</t>
    <phoneticPr fontId="5" type="noConversion"/>
  </si>
  <si>
    <t>关联交易情况</t>
    <phoneticPr fontId="5" type="noConversion"/>
  </si>
  <si>
    <t>在建工程项目本期变动情况</t>
    <phoneticPr fontId="5" type="noConversion"/>
  </si>
  <si>
    <t>财报近N年</t>
    <phoneticPr fontId="2" type="noConversion"/>
  </si>
  <si>
    <t>评分</t>
    <phoneticPr fontId="2" type="noConversion"/>
  </si>
  <si>
    <t>财务造假识别系统</t>
    <phoneticPr fontId="2" type="noConversion"/>
  </si>
  <si>
    <t>比较基准</t>
    <phoneticPr fontId="2" type="noConversion"/>
  </si>
  <si>
    <t>倍的十年平均值</t>
    <phoneticPr fontId="2" type="noConversion"/>
  </si>
  <si>
    <t>或大于</t>
    <phoneticPr fontId="2" type="noConversion"/>
  </si>
  <si>
    <t>为过高，其他为正常</t>
    <phoneticPr fontId="2" type="noConversion"/>
  </si>
  <si>
    <t>存货突然大幅增加，或者经常很高，这意味着连赊账销售都卖不掉，迟早要记提大额的存货跌价。</t>
    <phoneticPr fontId="2" type="noConversion"/>
  </si>
  <si>
    <t>应收票据及账款/营业收入</t>
    <phoneticPr fontId="2" type="noConversion"/>
  </si>
  <si>
    <t>用应收账款加上商业承兑汇票，再除以营收，这个比值越小越好。如果某个会计期间突然剧增，就要警惕，往往不是好兆头，轻的说明生意难做，严重的有虚增收入的可能。</t>
    <phoneticPr fontId="2" type="noConversion"/>
  </si>
  <si>
    <t>为中风险，低于60为高风险</t>
    <phoneticPr fontId="5" type="noConversion"/>
  </si>
  <si>
    <t>最低分&gt;=</t>
    <phoneticPr fontId="2" type="noConversion"/>
  </si>
  <si>
    <t>财报年数N</t>
    <phoneticPr fontId="2" type="noConversion"/>
  </si>
  <si>
    <t>预算额</t>
    <phoneticPr fontId="2" type="noConversion"/>
  </si>
  <si>
    <t>本期转固额</t>
    <phoneticPr fontId="2" type="noConversion"/>
  </si>
  <si>
    <t>累计投入占预算比</t>
    <phoneticPr fontId="2" type="noConversion"/>
  </si>
  <si>
    <t>工程进度</t>
    <phoneticPr fontId="2" type="noConversion"/>
  </si>
  <si>
    <t>资金来源</t>
    <phoneticPr fontId="2" type="noConversion"/>
  </si>
  <si>
    <t>自筹</t>
    <phoneticPr fontId="2" type="noConversion"/>
  </si>
  <si>
    <t>转固/累计投入额</t>
    <phoneticPr fontId="2" type="noConversion"/>
  </si>
  <si>
    <t>进度不错</t>
    <phoneticPr fontId="2" type="noConversion"/>
  </si>
  <si>
    <t>检查方法是，在财报中搜索”在建工程”，跳到附注中看详细情况，总预算多少？累计投入多少？本期投入多少？完成进度多少？这个也比较重要，决定着产能何时能释放，对于变更或者延迟的在建工程要搞清楚原因</t>
    <phoneticPr fontId="2" type="noConversion"/>
  </si>
  <si>
    <t>转固/预算额</t>
    <phoneticPr fontId="2" type="noConversion"/>
  </si>
  <si>
    <t>考察现金生成的质量</t>
    <phoneticPr fontId="2" type="noConversion"/>
  </si>
  <si>
    <t>为正常，其他异常</t>
    <phoneticPr fontId="2" type="noConversion"/>
  </si>
  <si>
    <t>营业总收入(元)</t>
    <phoneticPr fontId="2" type="noConversion"/>
  </si>
  <si>
    <t>每股收益同比增长率</t>
    <phoneticPr fontId="2" type="noConversion"/>
  </si>
  <si>
    <t>资产合计(元)</t>
    <phoneticPr fontId="2" type="noConversion"/>
  </si>
  <si>
    <t>银行存款(元)</t>
    <phoneticPr fontId="2" type="noConversion"/>
  </si>
  <si>
    <t>银行存款/营业收入</t>
    <phoneticPr fontId="2" type="noConversion"/>
  </si>
  <si>
    <t>利息收入(元)</t>
    <phoneticPr fontId="2" type="noConversion"/>
  </si>
  <si>
    <t>利息率</t>
    <phoneticPr fontId="2" type="noConversion"/>
  </si>
  <si>
    <t>银行理财(元)</t>
    <phoneticPr fontId="2" type="noConversion"/>
  </si>
  <si>
    <t>银行理财/营业收入</t>
    <phoneticPr fontId="2" type="noConversion"/>
  </si>
  <si>
    <t>银行理财收益(元)</t>
    <phoneticPr fontId="2" type="noConversion"/>
  </si>
  <si>
    <t>银行存款+银行理财(元)</t>
    <phoneticPr fontId="2" type="noConversion"/>
  </si>
  <si>
    <t>类现金/营业收入</t>
    <phoneticPr fontId="2" type="noConversion"/>
  </si>
  <si>
    <t>类现金综合收益(元)</t>
    <phoneticPr fontId="2" type="noConversion"/>
  </si>
  <si>
    <t>取得借款收到的现金(元)</t>
    <phoneticPr fontId="2" type="noConversion"/>
  </si>
  <si>
    <t>投资活动产生的现金流量净额(元)</t>
    <phoneticPr fontId="2" type="noConversion"/>
  </si>
  <si>
    <t>筹资活动产生的现金流量净额(元)</t>
    <phoneticPr fontId="2" type="noConversion"/>
  </si>
  <si>
    <t>应收票据/营业收入</t>
    <phoneticPr fontId="2" type="noConversion"/>
  </si>
  <si>
    <t>存货/营业成本</t>
    <phoneticPr fontId="2" type="noConversion"/>
  </si>
  <si>
    <t>预付款项(元)</t>
    <phoneticPr fontId="2" type="noConversion"/>
  </si>
  <si>
    <t>预付款项/资产合计</t>
    <phoneticPr fontId="2" type="noConversion"/>
  </si>
  <si>
    <r>
      <t>其他应收款</t>
    </r>
    <r>
      <rPr>
        <sz val="11"/>
        <color rgb="FF000000"/>
        <rFont val="宋体"/>
        <family val="2"/>
        <charset val="134"/>
      </rPr>
      <t>(</t>
    </r>
    <r>
      <rPr>
        <sz val="11"/>
        <color indexed="8"/>
        <rFont val="宋体"/>
        <family val="3"/>
        <charset val="134"/>
      </rPr>
      <t>元</t>
    </r>
    <r>
      <rPr>
        <sz val="11"/>
        <color rgb="FF000000"/>
        <rFont val="宋体"/>
        <family val="2"/>
        <charset val="134"/>
      </rPr>
      <t>)</t>
    </r>
    <phoneticPr fontId="2" type="noConversion"/>
  </si>
  <si>
    <t>其他应收款/营业收入</t>
    <phoneticPr fontId="2" type="noConversion"/>
  </si>
  <si>
    <t>商誉(元)</t>
    <phoneticPr fontId="2" type="noConversion"/>
  </si>
  <si>
    <r>
      <rPr>
        <sz val="11"/>
        <color rgb="FF000000"/>
        <rFont val="宋体"/>
        <family val="3"/>
        <charset val="134"/>
      </rPr>
      <t>商誉/资产合计</t>
    </r>
    <phoneticPr fontId="2" type="noConversion"/>
  </si>
  <si>
    <t>所得税/利润总额</t>
    <phoneticPr fontId="2" type="noConversion"/>
  </si>
  <si>
    <t>在建工程转固情况</t>
    <phoneticPr fontId="2" type="noConversion"/>
  </si>
  <si>
    <t>项目名称</t>
    <phoneticPr fontId="2" type="noConversion"/>
  </si>
  <si>
    <t>转固情况</t>
    <phoneticPr fontId="2" type="noConversion"/>
  </si>
  <si>
    <t>关联交易情况</t>
    <phoneticPr fontId="2" type="noConversion"/>
  </si>
  <si>
    <t>采购商品/接受劳务收到的现金(元)</t>
    <phoneticPr fontId="2" type="noConversion"/>
  </si>
  <si>
    <t>出售商品/提供劳务收到的现金(元)</t>
    <phoneticPr fontId="2" type="noConversion"/>
  </si>
  <si>
    <t>关联受托管理/承包</t>
    <phoneticPr fontId="2" type="noConversion"/>
  </si>
  <si>
    <t>关联委托管理/出包</t>
    <phoneticPr fontId="2" type="noConversion"/>
  </si>
  <si>
    <t>关联租赁入</t>
    <phoneticPr fontId="2" type="noConversion"/>
  </si>
  <si>
    <t>关联租赁出</t>
    <phoneticPr fontId="2" type="noConversion"/>
  </si>
  <si>
    <t>关联担保担保方</t>
    <phoneticPr fontId="2" type="noConversion"/>
  </si>
  <si>
    <t>关联担保被担保</t>
    <phoneticPr fontId="2" type="noConversion"/>
  </si>
  <si>
    <t>关联方资金拆借出</t>
    <phoneticPr fontId="2" type="noConversion"/>
  </si>
  <si>
    <t>关联方资金拆借入</t>
    <phoneticPr fontId="2" type="noConversion"/>
  </si>
  <si>
    <t>关联方资产转让、债务重组</t>
    <phoneticPr fontId="2" type="noConversion"/>
  </si>
  <si>
    <t>关键人员报酬</t>
    <phoneticPr fontId="2" type="noConversion"/>
  </si>
  <si>
    <t>其他关联交易</t>
    <phoneticPr fontId="2" type="noConversion"/>
  </si>
  <si>
    <t>所有总金额(元)</t>
    <phoneticPr fontId="2" type="noConversion"/>
  </si>
  <si>
    <t>关联交易/营业收入</t>
    <phoneticPr fontId="2" type="noConversion"/>
  </si>
  <si>
    <t>现金流量表勾稽关系</t>
    <phoneticPr fontId="2" type="noConversion"/>
  </si>
  <si>
    <t>销售商品、提供劳务收到的现金(元)</t>
    <phoneticPr fontId="2" type="noConversion"/>
  </si>
  <si>
    <t>应收票据及应收账款(元)</t>
    <phoneticPr fontId="2" type="noConversion"/>
  </si>
  <si>
    <t>其他应收款合计(元)</t>
    <phoneticPr fontId="2" type="noConversion"/>
  </si>
  <si>
    <t>预收款项(元)</t>
    <phoneticPr fontId="2" type="noConversion"/>
  </si>
  <si>
    <r>
      <rPr>
        <sz val="11"/>
        <color rgb="FF000000"/>
        <rFont val="宋体"/>
        <family val="2"/>
        <charset val="134"/>
      </rPr>
      <t>购买商品、接受劳务支付的现金</t>
    </r>
    <r>
      <rPr>
        <sz val="11"/>
        <color rgb="FF000000"/>
        <rFont val="Calibri"/>
        <family val="2"/>
      </rPr>
      <t>(</t>
    </r>
    <r>
      <rPr>
        <sz val="11"/>
        <color rgb="FF000000"/>
        <rFont val="宋体"/>
        <family val="2"/>
        <charset val="134"/>
      </rPr>
      <t>元</t>
    </r>
    <r>
      <rPr>
        <sz val="11"/>
        <color rgb="FF000000"/>
        <rFont val="Calibri"/>
        <family val="2"/>
      </rPr>
      <t>)</t>
    </r>
    <phoneticPr fontId="2" type="noConversion"/>
  </si>
  <si>
    <t>营业成本(元)</t>
    <phoneticPr fontId="2" type="noConversion"/>
  </si>
  <si>
    <t>应付票据及应付账款(元)</t>
    <phoneticPr fontId="2" type="noConversion"/>
  </si>
  <si>
    <t>货币资金(元)</t>
    <phoneticPr fontId="2" type="noConversion"/>
  </si>
  <si>
    <t>净利润(元)</t>
    <phoneticPr fontId="2" type="noConversion"/>
  </si>
  <si>
    <t>OCF经营性现金流/净利润</t>
    <phoneticPr fontId="2" type="noConversion"/>
  </si>
  <si>
    <t>OCF经营性现金流(元)</t>
    <phoneticPr fontId="2" type="noConversion"/>
  </si>
  <si>
    <t>经营活动产生的现金流量净额(元)</t>
    <phoneticPr fontId="2" type="noConversion"/>
  </si>
  <si>
    <t>近N年平均分</t>
    <phoneticPr fontId="2" type="noConversion"/>
  </si>
  <si>
    <t>天营业成本为异常，其他为正常</t>
    <phoneticPr fontId="2" type="noConversion"/>
  </si>
  <si>
    <t>N年内最低分&gt;=</t>
    <phoneticPr fontId="5" type="noConversion"/>
  </si>
  <si>
    <t>为低风险</t>
    <phoneticPr fontId="5" type="noConversion"/>
  </si>
  <si>
    <r>
      <t>按照我国商业票据的相关规定，商业票据的承兑期不能超过</t>
    </r>
    <r>
      <rPr>
        <sz val="11"/>
        <color indexed="8"/>
        <rFont val="Calibri"/>
        <family val="2"/>
      </rPr>
      <t>6</t>
    </r>
    <r>
      <rPr>
        <sz val="11"/>
        <color rgb="FF000000"/>
        <rFont val="宋体"/>
        <family val="2"/>
        <charset val="134"/>
      </rPr>
      <t>个月。所以，你如果发现应收票据长期维持一个不变的值就要警惕了。</t>
    </r>
    <phoneticPr fontId="2" type="noConversion"/>
  </si>
  <si>
    <t>支付的各项税费(元)</t>
    <phoneticPr fontId="5" type="noConversion"/>
  </si>
  <si>
    <t>项目名称3</t>
    <phoneticPr fontId="2" type="noConversion"/>
  </si>
  <si>
    <t>美的集团</t>
    <phoneticPr fontId="5" type="noConversion"/>
  </si>
  <si>
    <t>000333</t>
    <phoneticPr fontId="5" type="noConversion"/>
  </si>
  <si>
    <t>收到的税费与返还(元)</t>
    <phoneticPr fontId="5" type="noConversion"/>
  </si>
  <si>
    <t>每股收益同比增长率</t>
  </si>
  <si>
    <t>15.79%</t>
  </si>
  <si>
    <t>16.16%</t>
  </si>
  <si>
    <t>14.50%</t>
  </si>
  <si>
    <t>20.08%</t>
  </si>
  <si>
    <t>43.93%</t>
  </si>
  <si>
    <t>32.82%</t>
  </si>
  <si>
    <t>营业收入同比增长率</t>
  </si>
  <si>
    <t>8.23%</t>
  </si>
  <si>
    <t>51.35%</t>
  </si>
  <si>
    <t>14.71%</t>
  </si>
  <si>
    <t>-2.08%</t>
  </si>
  <si>
    <t>17.36%</t>
  </si>
  <si>
    <t>18.06%</t>
  </si>
  <si>
    <t>-23.46%</t>
  </si>
  <si>
    <t>21.63%</t>
  </si>
  <si>
    <t>50.41%</t>
  </si>
  <si>
    <t>7.10%</t>
  </si>
  <si>
    <t>33.54%</t>
  </si>
  <si>
    <t>36.17%</t>
  </si>
  <si>
    <t>净利润同比增长率</t>
  </si>
  <si>
    <t>17.05%</t>
  </si>
  <si>
    <t>17.70%</t>
  </si>
  <si>
    <t>15.56%</t>
  </si>
  <si>
    <t>20.99%</t>
  </si>
  <si>
    <t>97.50%</t>
  </si>
  <si>
    <t>63.15%</t>
  </si>
  <si>
    <t>-6.14%</t>
  </si>
  <si>
    <t>-7.29%</t>
  </si>
  <si>
    <t>132.45%</t>
  </si>
  <si>
    <t>7.65%</t>
  </si>
  <si>
    <t>4.05%</t>
  </si>
  <si>
    <t>124.17%</t>
  </si>
  <si>
    <t>净资产收益率同比增长率</t>
  </si>
  <si>
    <t>3.90%</t>
  </si>
  <si>
    <t>-2.43%</t>
  </si>
  <si>
    <t>-6.98%</t>
  </si>
  <si>
    <t>-2.94%</t>
  </si>
  <si>
    <t>64.36%</t>
  </si>
  <si>
    <t>-28.91%</t>
  </si>
  <si>
    <t>-18.07%</t>
  </si>
  <si>
    <t>-18.69%</t>
  </si>
  <si>
    <t>61.54%</t>
  </si>
  <si>
    <t>-28.09%</t>
  </si>
  <si>
    <t>-18.67%</t>
  </si>
  <si>
    <t>8.43%</t>
  </si>
  <si>
    <t>流动资产</t>
  </si>
  <si>
    <t>货币资金(元)</t>
  </si>
  <si>
    <t>以公允价值计量且其变动计入当期损益的金融资产(元)</t>
  </si>
  <si>
    <t xml:space="preserve"> 应收账款(元)</t>
  </si>
  <si>
    <t>一年内到期的非流动资产(元)</t>
  </si>
  <si>
    <t>其他流动资产(元)</t>
  </si>
  <si>
    <t>流动资产合计(元)</t>
  </si>
  <si>
    <t>非流动资产</t>
  </si>
  <si>
    <t>可供出售金融资产(元)</t>
  </si>
  <si>
    <t>长期股权投资(元)</t>
  </si>
  <si>
    <t>投资性房地产(元)</t>
  </si>
  <si>
    <t>固定资产合计(元)</t>
  </si>
  <si>
    <t>其中：固定资产(元)</t>
  </si>
  <si>
    <t>固定资产清理(元)</t>
  </si>
  <si>
    <t>在建工程合计(元)</t>
  </si>
  <si>
    <t>其中：在建工程(元)</t>
  </si>
  <si>
    <t>工程物资(元)</t>
  </si>
  <si>
    <t>无形资产(元)</t>
  </si>
  <si>
    <t>商誉(元)</t>
  </si>
  <si>
    <t>长期待摊费用(元)</t>
  </si>
  <si>
    <t>递延所得税资产(元)</t>
  </si>
  <si>
    <t>其他非流动资产(元)</t>
  </si>
  <si>
    <t>非流动资产合计(元)</t>
  </si>
  <si>
    <t>资产合计(元)</t>
  </si>
  <si>
    <t>流动负债</t>
  </si>
  <si>
    <t>短期借款(元)</t>
  </si>
  <si>
    <t>以公允价值计量且其变动计入当期损益的金融负债(元)</t>
  </si>
  <si>
    <t>衍生金融负债(元)</t>
  </si>
  <si>
    <t>应付票据及应付账款(元)</t>
  </si>
  <si>
    <t>其中：应付票据(元)</t>
  </si>
  <si>
    <t>应付账款(元)</t>
  </si>
  <si>
    <t>预收款项(元)</t>
  </si>
  <si>
    <t>应付职工薪酬(元)</t>
  </si>
  <si>
    <t>应交税费(元)</t>
  </si>
  <si>
    <t>其他应付款合计(元)</t>
  </si>
  <si>
    <t>其中：应付利息(元)</t>
  </si>
  <si>
    <t>应付股利(元)</t>
  </si>
  <si>
    <t>其他应付款(元)</t>
  </si>
  <si>
    <t>一年内到期的非流动负债(元)</t>
  </si>
  <si>
    <t>其他流动负债(元)</t>
  </si>
  <si>
    <t>流动负债合计(元)</t>
  </si>
  <si>
    <t>非流动负债</t>
  </si>
  <si>
    <t>长期借款(元)</t>
  </si>
  <si>
    <t>应付债券(元)</t>
  </si>
  <si>
    <t>长期应付款合计(元)</t>
  </si>
  <si>
    <t>其中：长期应付款(元)</t>
  </si>
  <si>
    <t>专项应付款(元)</t>
  </si>
  <si>
    <t>预计负债(元)</t>
  </si>
  <si>
    <t>递延所得税负债(元)</t>
  </si>
  <si>
    <t>递延收益-非流动负债(元)</t>
  </si>
  <si>
    <t>其他非流动负债(元)</t>
  </si>
  <si>
    <t>非流动负债合计(元)</t>
  </si>
  <si>
    <t>负债合计(元)</t>
  </si>
  <si>
    <t>所有者权益（或股东权益）</t>
  </si>
  <si>
    <t>实收资本（或股本）(元)</t>
  </si>
  <si>
    <t>资本公积(元)</t>
  </si>
  <si>
    <t>减：库存股(元)</t>
  </si>
  <si>
    <t>其他综合收益(元)</t>
  </si>
  <si>
    <t>盈余公积(元)</t>
  </si>
  <si>
    <t>未分配利润(元)</t>
  </si>
  <si>
    <t>归属于母公司所有者权益合计(元)</t>
  </si>
  <si>
    <t>少数股东权益(元)</t>
  </si>
  <si>
    <t>所有者权益（或股东权益）合计(元)</t>
  </si>
  <si>
    <t>负债和所有者权益（或股东权益）合计(元)</t>
  </si>
  <si>
    <t>一、经营活动产生的现金流量</t>
  </si>
  <si>
    <t>收到的税费与返还(元)</t>
  </si>
  <si>
    <t>购买商品、接受劳务支付的现金(元)</t>
  </si>
  <si>
    <t>支付给职工以及为职工支付的现金(元)</t>
  </si>
  <si>
    <t>支付的各项税费(元)</t>
  </si>
  <si>
    <t>支付其他与经营活动有关的现金(元)</t>
  </si>
  <si>
    <t>二、投资活动产生的现金流量</t>
  </si>
  <si>
    <t>收回投资收到的现金(元)</t>
  </si>
  <si>
    <t>取得投资收益收到的现金(元)</t>
  </si>
  <si>
    <t>处置固定资产、无形资产和其他长期资产收回的现金净额(元)</t>
  </si>
  <si>
    <t>处置子公司及其他营业单位收到的现金净额(元)</t>
  </si>
  <si>
    <t>收到其他与投资活动有关的现金(元)</t>
  </si>
  <si>
    <t>投资活动现金流入小计(元)</t>
  </si>
  <si>
    <t>购建固定资产、无形资产和其他长期资产支付的现金(元)</t>
  </si>
  <si>
    <t>投资支付的现金(元)</t>
  </si>
  <si>
    <t>取得子公司及其他营业单位支付的现金净额(元)</t>
  </si>
  <si>
    <t>支付其他与投资活动有关的现金(元)</t>
  </si>
  <si>
    <t>投资活动现金流出小计(元)</t>
  </si>
  <si>
    <t>投资活动产生的现金流量净额(元)</t>
  </si>
  <si>
    <t>三、筹资活动产生的现金流量</t>
  </si>
  <si>
    <t>吸收投资收到的现金(元)</t>
  </si>
  <si>
    <t>其中：子公司吸收少数股东投资收到的现金(元)</t>
  </si>
  <si>
    <t>取得借款收到的现金(元)</t>
  </si>
  <si>
    <t>发行债券收到的现金(元)</t>
  </si>
  <si>
    <t>收到其他与筹资活动有关的现金(元)</t>
  </si>
  <si>
    <t>筹资活动现金流入小计(元)</t>
  </si>
  <si>
    <t>偿还债务支付的现金(元)</t>
  </si>
  <si>
    <t>分配股利、利润或偿付利息支付的现金(元)</t>
  </si>
  <si>
    <t>其中：子公司支付给少数股东的股利、利润(元)</t>
  </si>
  <si>
    <t>支付其他与筹资活动有关的现金(元)</t>
  </si>
  <si>
    <t>筹资活动现金流出小计(元)</t>
  </si>
  <si>
    <t>筹资活动产生的现金流量净额(元)</t>
  </si>
  <si>
    <t>四、汇率变动对现金及现金等价物的影响(元)</t>
  </si>
  <si>
    <t>五、现金及现金等价物净增加额(元)</t>
  </si>
  <si>
    <t>加：期初现金及现金等价物余额(元)</t>
  </si>
  <si>
    <t>六、期末现金及现金等价物余额(元)</t>
  </si>
  <si>
    <t>补充资料：</t>
  </si>
  <si>
    <t>1、将净利润调节为经营活动现金流量：</t>
  </si>
  <si>
    <t>净利润(元)</t>
  </si>
  <si>
    <t>加：资产减值准备(元)</t>
  </si>
  <si>
    <t>固定资产折旧、油气资产折耗、生产性生物资产折旧(元)</t>
  </si>
  <si>
    <t>处置固定资产、无形资产和其他长期资产的损失(元)</t>
  </si>
  <si>
    <t>固定资产报废损失(元)</t>
  </si>
  <si>
    <t>公允价值变动损失(元)</t>
  </si>
  <si>
    <t>财务费用(元)</t>
  </si>
  <si>
    <t>投资损失(元)</t>
  </si>
  <si>
    <t>递延所得税资产减少(元)</t>
  </si>
  <si>
    <t>递延所得税负债增加(元)</t>
  </si>
  <si>
    <t>存货的减少(元)</t>
  </si>
  <si>
    <t>经营性应收项目的减少(元)</t>
  </si>
  <si>
    <t>经营性应付项目的增加(元)</t>
  </si>
  <si>
    <t>其他(元)</t>
  </si>
  <si>
    <t>间接法-经营活动产生的现金流量净额(元)</t>
  </si>
  <si>
    <t>2、不涉及现金收支的重大投资和筹资活动：</t>
  </si>
  <si>
    <t>3、现金及现金等价物净变动情况：</t>
  </si>
  <si>
    <t>现金的期末余额(元)</t>
  </si>
  <si>
    <t>减：现金的期初余额(元)</t>
  </si>
  <si>
    <t>间接法-现金及现金等价物净增加额(元)</t>
  </si>
  <si>
    <t>一、营业总收入(元)</t>
  </si>
  <si>
    <t>其中：利息费用(元)</t>
  </si>
  <si>
    <t>利息收入(元)</t>
  </si>
  <si>
    <t>资产减值损失(元)</t>
  </si>
  <si>
    <t>信用减值损失(元)</t>
  </si>
  <si>
    <t>加：公允价值变动收益(元)</t>
  </si>
  <si>
    <t>投资收益(元)</t>
  </si>
  <si>
    <t>其中：联营企业和合营企业的投资收益(元)</t>
  </si>
  <si>
    <t>资产处置收益(元)</t>
  </si>
  <si>
    <t>其他收益(元)</t>
  </si>
  <si>
    <t>三、营业利润(元)</t>
  </si>
  <si>
    <t>加：营业外收入(元)</t>
  </si>
  <si>
    <t>其中：非流动资产处置利得(元)</t>
  </si>
  <si>
    <t>减：营业外支出(元)</t>
  </si>
  <si>
    <t>其中：非流动资产处置损失(元)</t>
  </si>
  <si>
    <t>四、利润总额(元)</t>
  </si>
  <si>
    <t>减：所得税费用(元)</t>
  </si>
  <si>
    <t>五、净利润(元)</t>
  </si>
  <si>
    <t>（一）持续经营净利润(元)</t>
  </si>
  <si>
    <t>归属于母公司所有者的净利润(元)</t>
  </si>
  <si>
    <t>少数股东损益(元)</t>
  </si>
  <si>
    <t>扣除非经常性损益后的净利润(元)</t>
  </si>
  <si>
    <t>六、每股收益</t>
  </si>
  <si>
    <t>（一）基本每股收益(元)</t>
  </si>
  <si>
    <t>（二）稀释每股收益(元)</t>
  </si>
  <si>
    <t>七、其他综合收益(元)</t>
  </si>
  <si>
    <t>归属母公司所有者的其他综合收益(元)</t>
  </si>
  <si>
    <t>八、综合收益总额(元)</t>
  </si>
  <si>
    <t>归属于母公司股东的综合收益总额(元)</t>
  </si>
  <si>
    <t>归属于少数股东的综合收益总额(元)</t>
  </si>
  <si>
    <r>
      <rPr>
        <sz val="11"/>
        <color rgb="FF000000"/>
        <rFont val="微软雅黑"/>
        <family val="2"/>
        <charset val="134"/>
      </rPr>
      <t>一、营业总收入</t>
    </r>
    <r>
      <rPr>
        <sz val="11"/>
        <color rgb="FF000000"/>
        <rFont val="Calibri"/>
        <family val="2"/>
      </rPr>
      <t>(</t>
    </r>
    <r>
      <rPr>
        <sz val="11"/>
        <color rgb="FF000000"/>
        <rFont val="微软雅黑"/>
        <family val="2"/>
        <charset val="134"/>
      </rPr>
      <t>元</t>
    </r>
    <r>
      <rPr>
        <sz val="11"/>
        <color rgb="FF000000"/>
        <rFont val="Calibri"/>
        <family val="2"/>
      </rPr>
      <t>)</t>
    </r>
    <phoneticPr fontId="2" type="noConversion"/>
  </si>
  <si>
    <r>
      <rPr>
        <sz val="11"/>
        <color rgb="FF000000"/>
        <rFont val="微软雅黑"/>
        <family val="2"/>
        <charset val="134"/>
      </rPr>
      <t>应收票据及应收账款</t>
    </r>
    <r>
      <rPr>
        <sz val="11"/>
        <color rgb="FF000000"/>
        <rFont val="Calibri"/>
        <family val="2"/>
      </rPr>
      <t>(</t>
    </r>
    <r>
      <rPr>
        <sz val="11"/>
        <color rgb="FF000000"/>
        <rFont val="微软雅黑"/>
        <family val="2"/>
        <charset val="134"/>
      </rPr>
      <t>元</t>
    </r>
    <r>
      <rPr>
        <sz val="11"/>
        <color rgb="FF000000"/>
        <rFont val="Calibri"/>
        <family val="2"/>
      </rPr>
      <t>)</t>
    </r>
    <phoneticPr fontId="2" type="noConversion"/>
  </si>
  <si>
    <t>在浏览器打开的财报中搜索银行存款，找到合并报表附注中的货币资金明细，拷贝银行存款的金额，粘贴位数字到本栏相应位置</t>
    <phoneticPr fontId="2" type="noConversion"/>
  </si>
  <si>
    <t>同样搜索“存款利息”，也会匹配到很多结果，直接跳到合并报表附注中的“财务费用”，拷贝明细项中利息收入金额，粘贴为数字到本栏相应位置</t>
    <phoneticPr fontId="2" type="noConversion"/>
  </si>
  <si>
    <t>搜理财产品找到附注中的其他流动资产明细项，拷贝银行理财金额到本栏中，没有的填写为0</t>
    <phoneticPr fontId="2" type="noConversion"/>
  </si>
  <si>
    <t>搜“投资收益”，跳到附注明细项，拷贝银行理财收益金额到本栏中，没有的填写0</t>
    <phoneticPr fontId="2" type="noConversion"/>
  </si>
  <si>
    <t>综合以后能够消除二者对利息公布不全及存款或理财时间周期因素的影响</t>
    <phoneticPr fontId="2" type="noConversion"/>
  </si>
  <si>
    <t>备注</t>
    <phoneticPr fontId="2" type="noConversion"/>
  </si>
  <si>
    <t>有大量现金及存款的情况下不应该有短期筹资</t>
    <phoneticPr fontId="2" type="noConversion"/>
  </si>
  <si>
    <t>没有项目的情况下不应有长期筹资</t>
    <phoneticPr fontId="2" type="noConversion"/>
  </si>
  <si>
    <t>生物资产应注意</t>
    <phoneticPr fontId="2" type="noConversion"/>
  </si>
  <si>
    <t>对于经济利益的流出一定要认真看，如果发现企业花钱如流水，但又没收到回报，就要当心了。</t>
    <phoneticPr fontId="2" type="noConversion"/>
  </si>
  <si>
    <t>正常的业务往来的欠款都应该放在应收账款或者应收票据里，有些莫名其妙的资金流出就会放在其他应收款，比如资金被大股东挪用，或者拆借给关联方。所以要看附注中的明细项，这些钱都是流向了哪些公司？这些公司和本企业是什么关系。</t>
    <phoneticPr fontId="2" type="noConversion"/>
  </si>
  <si>
    <t>当然了，有些行业，如房地产行业，确实需要合作开发业务，非销售的资金往来比较多，有大额的其他应收款也很正常，但对于绝大部分行业，这个科目都不应该有过大的数额</t>
    <phoneticPr fontId="2" type="noConversion"/>
  </si>
  <si>
    <t>最关键还是要看收购对象的质地，首先看行业，收购一个夕阳产业的公司肯定比朝阳产业的公司风险大。再就是看收购对象的财务报表，公司对于大的收购交易都会发公告，公示收购目标公司的财报和审计报告，要认真看，检查这些公司到底质地如何</t>
    <phoneticPr fontId="2" type="noConversion"/>
  </si>
  <si>
    <t>这个栏目考察税率，目前国内增值税率为25%，再加上其他赋税，一般不会超过30%，但白酒，烟草，奢侈品可能会更高一点</t>
    <phoneticPr fontId="2" type="noConversion"/>
  </si>
  <si>
    <t>在建工程不需要折旧，一旦转为固定资产后每年就要记提折旧，影响利润，所以有些重资产行业，为了利润好看，把明明已经完工的在建工程拖着不转固。</t>
    <phoneticPr fontId="2" type="noConversion"/>
  </si>
  <si>
    <t>查出是否有隐瞒的关联交易，根据这个公司名称，用天眼查查这些公司的股权结构及法人，就能顺藤摸瓜，查出企业之间是否有关联关系。</t>
    <phoneticPr fontId="2" type="noConversion"/>
  </si>
  <si>
    <r>
      <rPr>
        <sz val="11"/>
        <color rgb="FF000000"/>
        <rFont val="宋体"/>
        <family val="2"/>
        <charset val="134"/>
      </rPr>
      <t>关联交易额最好不大于营业额的</t>
    </r>
    <r>
      <rPr>
        <sz val="11"/>
        <color rgb="FF000000"/>
        <rFont val="Calibri"/>
        <family val="2"/>
      </rPr>
      <t>10%</t>
    </r>
    <phoneticPr fontId="2" type="noConversion"/>
  </si>
  <si>
    <r>
      <rPr>
        <sz val="11"/>
        <color rgb="FF000000"/>
        <rFont val="宋体"/>
        <family val="2"/>
        <charset val="134"/>
      </rPr>
      <t>查看现金流量表中的“销售商品、提供劳务收到的现金”的金额</t>
    </r>
    <r>
      <rPr>
        <sz val="11"/>
        <color indexed="8"/>
        <rFont val="Calibri"/>
        <family val="2"/>
      </rPr>
      <t>X</t>
    </r>
    <r>
      <rPr>
        <sz val="11"/>
        <color rgb="FF000000"/>
        <rFont val="宋体"/>
        <family val="2"/>
        <charset val="134"/>
      </rPr>
      <t>，查看利润表中的营业收入的金额</t>
    </r>
    <r>
      <rPr>
        <sz val="11"/>
        <color indexed="8"/>
        <rFont val="Calibri"/>
        <family val="2"/>
      </rPr>
      <t>A</t>
    </r>
    <r>
      <rPr>
        <sz val="11"/>
        <color rgb="FF000000"/>
        <rFont val="宋体"/>
        <family val="2"/>
        <charset val="134"/>
      </rPr>
      <t>、资产负债表的应收账款和应收票据的增加数</t>
    </r>
    <r>
      <rPr>
        <sz val="11"/>
        <color indexed="8"/>
        <rFont val="Calibri"/>
        <family val="2"/>
      </rPr>
      <t>B(</t>
    </r>
    <r>
      <rPr>
        <sz val="11"/>
        <color rgb="FF000000"/>
        <rFont val="宋体"/>
        <family val="2"/>
        <charset val="134"/>
      </rPr>
      <t>即期末数减期初数</t>
    </r>
    <r>
      <rPr>
        <sz val="11"/>
        <color indexed="8"/>
        <rFont val="Calibri"/>
        <family val="2"/>
      </rPr>
      <t>)</t>
    </r>
    <r>
      <rPr>
        <sz val="11"/>
        <color rgb="FF000000"/>
        <rFont val="宋体"/>
        <family val="2"/>
        <charset val="134"/>
      </rPr>
      <t>、预收账款（新的会计准则叫“合同负债”）的增加数</t>
    </r>
    <r>
      <rPr>
        <sz val="11"/>
        <color indexed="8"/>
        <rFont val="Calibri"/>
        <family val="2"/>
      </rPr>
      <t>C</t>
    </r>
    <r>
      <rPr>
        <sz val="11"/>
        <color rgb="FF000000"/>
        <rFont val="宋体"/>
        <family val="2"/>
        <charset val="134"/>
      </rPr>
      <t>。</t>
    </r>
    <phoneticPr fontId="2" type="noConversion"/>
  </si>
  <si>
    <r>
      <rPr>
        <sz val="11"/>
        <color indexed="8"/>
        <rFont val="Calibri"/>
        <family val="2"/>
      </rPr>
      <t>X</t>
    </r>
    <r>
      <rPr>
        <sz val="11"/>
        <color rgb="FF000000"/>
        <rFont val="宋体"/>
        <family val="2"/>
        <charset val="134"/>
      </rPr>
      <t>应该大致等于（</t>
    </r>
    <r>
      <rPr>
        <sz val="11"/>
        <color indexed="8"/>
        <rFont val="Calibri"/>
        <family val="2"/>
      </rPr>
      <t>A-B+C</t>
    </r>
    <r>
      <rPr>
        <sz val="11"/>
        <color rgb="FF000000"/>
        <rFont val="宋体"/>
        <family val="2"/>
        <charset val="134"/>
      </rPr>
      <t>）</t>
    </r>
    <phoneticPr fontId="2" type="noConversion"/>
  </si>
  <si>
    <r>
      <rPr>
        <sz val="11"/>
        <color rgb="FF000000"/>
        <rFont val="宋体"/>
        <family val="2"/>
        <charset val="134"/>
      </rPr>
      <t>查看现金流量表中的“购买商品、接受劳务支付的现金”金额</t>
    </r>
    <r>
      <rPr>
        <sz val="11"/>
        <color indexed="8"/>
        <rFont val="Calibri"/>
        <family val="2"/>
      </rPr>
      <t>X</t>
    </r>
    <r>
      <rPr>
        <sz val="11"/>
        <color rgb="FF000000"/>
        <rFont val="宋体"/>
        <family val="2"/>
        <charset val="134"/>
      </rPr>
      <t>、利润表中的营业成本</t>
    </r>
    <r>
      <rPr>
        <sz val="11"/>
        <color indexed="8"/>
        <rFont val="Calibri"/>
        <family val="2"/>
      </rPr>
      <t>A</t>
    </r>
    <r>
      <rPr>
        <sz val="11"/>
        <color rgb="FF000000"/>
        <rFont val="宋体"/>
        <family val="2"/>
        <charset val="134"/>
      </rPr>
      <t>、资产负债表中的存货增加数</t>
    </r>
    <r>
      <rPr>
        <sz val="11"/>
        <color indexed="8"/>
        <rFont val="Calibri"/>
        <family val="2"/>
      </rPr>
      <t>B</t>
    </r>
    <r>
      <rPr>
        <sz val="11"/>
        <color rgb="FF000000"/>
        <rFont val="宋体"/>
        <family val="2"/>
        <charset val="134"/>
      </rPr>
      <t>、应付账款和应付票据增加数</t>
    </r>
    <r>
      <rPr>
        <sz val="11"/>
        <color indexed="8"/>
        <rFont val="Calibri"/>
        <family val="2"/>
      </rPr>
      <t>C</t>
    </r>
    <r>
      <rPr>
        <sz val="11"/>
        <color rgb="FF000000"/>
        <rFont val="宋体"/>
        <family val="2"/>
        <charset val="134"/>
      </rPr>
      <t>、预付账款的增加数</t>
    </r>
    <r>
      <rPr>
        <sz val="11"/>
        <color indexed="8"/>
        <rFont val="Calibri"/>
        <family val="2"/>
      </rPr>
      <t>D</t>
    </r>
    <r>
      <rPr>
        <sz val="11"/>
        <color rgb="FF000000"/>
        <rFont val="宋体"/>
        <family val="2"/>
        <charset val="134"/>
      </rPr>
      <t>。</t>
    </r>
    <phoneticPr fontId="2" type="noConversion"/>
  </si>
  <si>
    <r>
      <rPr>
        <sz val="11"/>
        <color rgb="FF000000"/>
        <rFont val="宋体"/>
        <family val="2"/>
        <charset val="134"/>
      </rPr>
      <t>那么</t>
    </r>
    <r>
      <rPr>
        <sz val="11"/>
        <color indexed="8"/>
        <rFont val="Calibri"/>
        <family val="2"/>
      </rPr>
      <t>X</t>
    </r>
    <r>
      <rPr>
        <sz val="11"/>
        <color rgb="FF000000"/>
        <rFont val="宋体"/>
        <family val="2"/>
        <charset val="134"/>
      </rPr>
      <t>应该大致等于（</t>
    </r>
    <r>
      <rPr>
        <sz val="11"/>
        <color indexed="8"/>
        <rFont val="Calibri"/>
        <family val="2"/>
      </rPr>
      <t>A+B-C+D</t>
    </r>
    <r>
      <rPr>
        <sz val="11"/>
        <color rgb="FF000000"/>
        <rFont val="宋体"/>
        <family val="2"/>
        <charset val="134"/>
      </rPr>
      <t>）</t>
    </r>
    <phoneticPr fontId="2" type="noConversion"/>
  </si>
  <si>
    <t>后边的4个表格可以从同花顺内导出全选粘贴在相应表格里，但下面的表格名称不能改变，否则本表会出现错误信息</t>
    <phoneticPr fontId="5" type="noConversion"/>
  </si>
  <si>
    <t>且大于</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</si>
</sst>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0_ "/>
    <numFmt numFmtId="177" formatCode="0.00_);[Red]\(0.00\)"/>
  </numFmts>
  <fonts count="20" x14ac:knownFonts="1">
    <font>
      <sz val="11"/>
      <color indexed="8"/>
      <name val="Calibri"/>
      <family val="2"/>
    </font>
    <font>
      <sz val="11"/>
      <color indexed="8"/>
      <name val="Calibri"/>
      <family val="2"/>
    </font>
    <font>
      <sz val="9"/>
      <name val="宋体"/>
      <family val="3"/>
      <charset val="134"/>
    </font>
    <font>
      <sz val="11"/>
      <color indexed="8"/>
      <name val="宋体"/>
      <family val="3"/>
      <charset val="134"/>
    </font>
    <font>
      <b/>
      <sz val="11"/>
      <color indexed="8"/>
      <name val="Calibri"/>
      <family val="2"/>
    </font>
    <font>
      <sz val="9"/>
      <name val="宋体"/>
      <family val="3"/>
      <charset val="134"/>
    </font>
    <font>
      <sz val="11"/>
      <color rgb="FF000000"/>
      <name val="Calibri"/>
      <family val="2"/>
    </font>
    <font>
      <sz val="11"/>
      <color rgb="FF000000"/>
      <name val="宋体"/>
      <family val="2"/>
      <charset val="134"/>
    </font>
    <font>
      <sz val="11"/>
      <color rgb="FF000000"/>
      <name val="Calibri"/>
      <family val="2"/>
      <charset val="134"/>
    </font>
    <font>
      <b/>
      <sz val="11"/>
      <color rgb="FF000000"/>
      <name val="宋体"/>
      <family val="3"/>
      <charset val="134"/>
    </font>
    <font>
      <sz val="11"/>
      <color indexed="8"/>
      <name val="Calibri"/>
      <family val="2"/>
      <charset val="134"/>
    </font>
    <font>
      <sz val="11"/>
      <color rgb="FF000000"/>
      <name val="宋体"/>
      <family val="3"/>
      <charset val="134"/>
    </font>
    <font>
      <sz val="11"/>
      <color rgb="FF0070C0"/>
      <name val="Calibri"/>
      <family val="2"/>
    </font>
    <font>
      <sz val="11"/>
      <color rgb="FF0070C0"/>
      <name val="宋体"/>
      <family val="2"/>
      <charset val="134"/>
    </font>
    <font>
      <sz val="11"/>
      <name val="Calibri"/>
      <family val="2"/>
    </font>
    <font>
      <sz val="11"/>
      <color theme="8"/>
      <name val="Calibri"/>
      <family val="2"/>
    </font>
    <font>
      <sz val="9"/>
      <color indexed="81"/>
      <name val="宋体"/>
      <family val="3"/>
      <charset val="134"/>
    </font>
    <font>
      <b/>
      <sz val="9"/>
      <color indexed="81"/>
      <name val="宋体"/>
      <family val="3"/>
      <charset val="134"/>
    </font>
    <font>
      <sz val="11"/>
      <color theme="8"/>
      <name val="宋体"/>
      <family val="2"/>
      <charset val="134"/>
    </font>
    <font>
      <sz val="11"/>
      <color rgb="FF000000"/>
      <name val="微软雅黑"/>
      <family val="2"/>
      <charset val="134"/>
    </font>
  </fonts>
  <fills count="2">
    <fill>
      <patternFill patternType="none"/>
    </fill>
    <fill>
      <patternFill patternType="gray125"/>
    </fill>
  </fills>
  <borders count="5">
    <border>
      <left/>
      <right/>
      <top/>
      <bottom/>
      <diagonal/>
    </border>
    <border>
      <left/>
      <right/>
      <top/>
      <bottom style="thin">
        <color indexed="64"/>
      </bottom>
      <diagonal/>
    </border>
    <border>
      <left/>
      <right/>
      <top style="thin">
        <color indexed="64"/>
      </top>
      <bottom/>
      <diagonal/>
    </border>
    <border>
      <left/>
      <right/>
      <top/>
      <bottom style="double">
        <color indexed="64"/>
      </bottom>
      <diagonal/>
    </border>
    <border>
      <left/>
      <right/>
      <top style="double">
        <color indexed="64"/>
      </top>
      <bottom style="thin">
        <color indexed="64"/>
      </bottom>
      <diagonal/>
    </border>
  </borders>
  <cellStyleXfs count="2">
    <xf numFmtId="0" fontId="0" fillId="0" borderId="0" applyFill="0" applyProtection="0"/>
    <xf numFmtId="9" fontId="1" fillId="0" borderId="0" applyFont="0" applyFill="0" applyBorder="0" applyAlignment="0" applyProtection="0">
      <alignment vertical="center"/>
    </xf>
  </cellStyleXfs>
  <cellXfs count="78">
    <xf numFmtId="0" fontId="0" fillId="0" borderId="0" xfId="0" applyFill="1" applyProtection="1"/>
    <xf numFmtId="0" fontId="0" fillId="0" borderId="0" xfId="0" applyFill="1" applyAlignment="1" applyProtection="1">
      <alignment shrinkToFit="1"/>
    </xf>
    <xf numFmtId="0" fontId="0" fillId="0" borderId="0" xfId="0" applyFill="1" applyBorder="1" applyAlignment="1" applyProtection="1">
      <alignment shrinkToFit="1"/>
    </xf>
    <xf numFmtId="0" fontId="7" fillId="0" borderId="0" xfId="0" applyFont="1" applyFill="1" applyProtection="1"/>
    <xf numFmtId="0" fontId="3" fillId="0" borderId="0" xfId="0" applyFont="1" applyFill="1" applyProtection="1"/>
    <xf numFmtId="2" fontId="0" fillId="0" borderId="0" xfId="0" applyNumberFormat="1" applyFill="1" applyBorder="1" applyAlignment="1" applyProtection="1">
      <alignment shrinkToFit="1"/>
    </xf>
    <xf numFmtId="2" fontId="0" fillId="0" borderId="0" xfId="0" applyNumberFormat="1" applyFill="1" applyAlignment="1" applyProtection="1">
      <alignment shrinkToFit="1"/>
    </xf>
    <xf numFmtId="10" fontId="0" fillId="0" borderId="0" xfId="0" applyNumberFormat="1" applyFill="1" applyBorder="1" applyAlignment="1" applyProtection="1">
      <alignment shrinkToFit="1"/>
    </xf>
    <xf numFmtId="10" fontId="0" fillId="0" borderId="0" xfId="0" applyNumberFormat="1" applyFill="1" applyAlignment="1" applyProtection="1">
      <alignment shrinkToFit="1"/>
    </xf>
    <xf numFmtId="0" fontId="7" fillId="0" borderId="0" xfId="0" applyFont="1" applyFill="1" applyBorder="1" applyAlignment="1" applyProtection="1">
      <alignment shrinkToFit="1"/>
    </xf>
    <xf numFmtId="0" fontId="7" fillId="0" borderId="0" xfId="0" applyFont="1" applyFill="1" applyAlignment="1" applyProtection="1">
      <alignment horizontal="center" shrinkToFit="1"/>
    </xf>
    <xf numFmtId="2" fontId="12" fillId="0" borderId="0" xfId="0" applyNumberFormat="1" applyFont="1" applyFill="1" applyAlignment="1" applyProtection="1">
      <alignment shrinkToFit="1"/>
    </xf>
    <xf numFmtId="2" fontId="12" fillId="0" borderId="0" xfId="0" applyNumberFormat="1" applyFont="1" applyFill="1" applyBorder="1" applyAlignment="1" applyProtection="1">
      <alignment shrinkToFit="1"/>
    </xf>
    <xf numFmtId="10" fontId="12" fillId="0" borderId="0" xfId="0" applyNumberFormat="1" applyFont="1" applyFill="1" applyAlignment="1" applyProtection="1">
      <alignment shrinkToFit="1"/>
    </xf>
    <xf numFmtId="2" fontId="12" fillId="0" borderId="2" xfId="0" applyNumberFormat="1" applyFont="1" applyFill="1" applyBorder="1" applyAlignment="1" applyProtection="1">
      <alignment shrinkToFit="1"/>
    </xf>
    <xf numFmtId="0" fontId="7" fillId="0" borderId="0" xfId="0" applyFont="1" applyFill="1" applyAlignment="1" applyProtection="1">
      <alignment shrinkToFit="1"/>
    </xf>
    <xf numFmtId="10" fontId="7" fillId="0" borderId="1" xfId="0" applyNumberFormat="1" applyFont="1" applyFill="1" applyBorder="1" applyAlignment="1" applyProtection="1">
      <alignment horizontal="center" shrinkToFit="1"/>
    </xf>
    <xf numFmtId="10" fontId="12" fillId="0" borderId="0" xfId="0" applyNumberFormat="1" applyFont="1" applyFill="1" applyBorder="1" applyAlignment="1" applyProtection="1">
      <alignment shrinkToFit="1"/>
    </xf>
    <xf numFmtId="0" fontId="0" fillId="0" borderId="0" xfId="0" applyFill="1" applyProtection="1"/>
    <xf numFmtId="0" fontId="7" fillId="0" borderId="0" xfId="0" applyFont="1" applyFill="1" applyAlignment="1" applyProtection="1"/>
    <xf numFmtId="10" fontId="12" fillId="0" borderId="0" xfId="1" applyNumberFormat="1" applyFont="1" applyFill="1" applyAlignment="1" applyProtection="1">
      <alignment shrinkToFit="1"/>
    </xf>
    <xf numFmtId="0" fontId="13" fillId="0" borderId="0" xfId="0" applyFont="1" applyFill="1" applyAlignment="1" applyProtection="1">
      <alignment horizontal="center"/>
    </xf>
    <xf numFmtId="9" fontId="15" fillId="0" borderId="0" xfId="0" applyNumberFormat="1" applyFont="1" applyFill="1" applyBorder="1" applyAlignment="1" applyProtection="1">
      <alignment shrinkToFit="1"/>
    </xf>
    <xf numFmtId="2" fontId="7" fillId="0" borderId="0" xfId="0" applyNumberFormat="1" applyFont="1" applyFill="1" applyBorder="1" applyAlignment="1" applyProtection="1">
      <alignment shrinkToFit="1"/>
    </xf>
    <xf numFmtId="0" fontId="15" fillId="0" borderId="0" xfId="0" applyFont="1" applyFill="1" applyAlignment="1" applyProtection="1">
      <alignment shrinkToFit="1"/>
    </xf>
    <xf numFmtId="0" fontId="14" fillId="0" borderId="0" xfId="0" applyFont="1" applyFill="1" applyAlignment="1" applyProtection="1">
      <alignment shrinkToFit="1"/>
    </xf>
    <xf numFmtId="10" fontId="0" fillId="0" borderId="1" xfId="0" applyNumberFormat="1" applyBorder="1" applyAlignment="1">
      <alignment horizontal="center" shrinkToFit="1"/>
    </xf>
    <xf numFmtId="0" fontId="7" fillId="0" borderId="0" xfId="0" applyFont="1"/>
    <xf numFmtId="0" fontId="0" fillId="0" borderId="0" xfId="0"/>
    <xf numFmtId="2" fontId="7" fillId="0" borderId="0" xfId="0" applyNumberFormat="1" applyFont="1"/>
    <xf numFmtId="0" fontId="9" fillId="0" borderId="0" xfId="0" applyFont="1"/>
    <xf numFmtId="0" fontId="7" fillId="0" borderId="0" xfId="0" applyFont="1" applyAlignment="1">
      <alignment horizontal="right"/>
    </xf>
    <xf numFmtId="0" fontId="0" fillId="0" borderId="0" xfId="0" applyAlignment="1">
      <alignment horizontal="center"/>
    </xf>
    <xf numFmtId="2" fontId="0" fillId="0" borderId="0" xfId="0" applyNumberFormat="1" applyAlignment="1">
      <alignment horizontal="center"/>
    </xf>
    <xf numFmtId="2" fontId="14" fillId="0" borderId="0" xfId="0" applyNumberFormat="1" applyFont="1" applyFill="1" applyBorder="1" applyAlignment="1" applyProtection="1">
      <alignment shrinkToFit="1"/>
    </xf>
    <xf numFmtId="2" fontId="14" fillId="0" borderId="0" xfId="0" applyNumberFormat="1" applyFont="1" applyAlignment="1">
      <alignment shrinkToFit="1"/>
    </xf>
    <xf numFmtId="0" fontId="3" fillId="0" borderId="0" xfId="0" applyFont="1"/>
    <xf numFmtId="2" fontId="12" fillId="0" borderId="0" xfId="0" applyNumberFormat="1" applyFont="1" applyAlignment="1">
      <alignment shrinkToFit="1"/>
    </xf>
    <xf numFmtId="0" fontId="7" fillId="0" borderId="0" xfId="0" applyFont="1" applyAlignment="1">
      <alignment shrinkToFit="1"/>
    </xf>
    <xf numFmtId="10" fontId="15" fillId="0" borderId="0" xfId="0" applyNumberFormat="1" applyFont="1"/>
    <xf numFmtId="0" fontId="0" fillId="0" borderId="0" xfId="0" applyAlignment="1">
      <alignment shrinkToFit="1"/>
    </xf>
    <xf numFmtId="0" fontId="10" fillId="0" borderId="0" xfId="0" applyFont="1"/>
    <xf numFmtId="0" fontId="7" fillId="0" borderId="1" xfId="0" applyFont="1" applyBorder="1"/>
    <xf numFmtId="10" fontId="0" fillId="0" borderId="0" xfId="0" applyNumberFormat="1" applyAlignment="1">
      <alignment shrinkToFit="1"/>
    </xf>
    <xf numFmtId="0" fontId="18" fillId="0" borderId="0" xfId="0" applyFont="1"/>
    <xf numFmtId="0" fontId="11" fillId="0" borderId="0" xfId="0" applyFont="1" applyFill="1" applyProtection="1"/>
    <xf numFmtId="2" fontId="14" fillId="0" borderId="2" xfId="0" applyNumberFormat="1" applyFont="1" applyBorder="1" applyAlignment="1">
      <alignment shrinkToFit="1"/>
    </xf>
    <xf numFmtId="4" fontId="12" fillId="0" borderId="0" xfId="0" applyNumberFormat="1" applyFont="1" applyAlignment="1">
      <alignment shrinkToFit="1"/>
    </xf>
    <xf numFmtId="10" fontId="12" fillId="0" borderId="0" xfId="0" applyNumberFormat="1" applyFont="1" applyAlignment="1">
      <alignment shrinkToFit="1"/>
    </xf>
    <xf numFmtId="0" fontId="13" fillId="0" borderId="0" xfId="0" applyFont="1" applyAlignment="1">
      <alignment shrinkToFit="1"/>
    </xf>
    <xf numFmtId="10" fontId="14" fillId="0" borderId="0" xfId="0" applyNumberFormat="1" applyFont="1" applyAlignment="1">
      <alignment shrinkToFit="1"/>
    </xf>
    <xf numFmtId="0" fontId="7" fillId="0" borderId="0" xfId="0" applyFont="1" applyAlignment="1">
      <alignment horizontal="center" shrinkToFit="1"/>
    </xf>
    <xf numFmtId="10" fontId="12" fillId="0" borderId="0" xfId="1" applyNumberFormat="1" applyFont="1" applyAlignment="1">
      <alignment shrinkToFit="1"/>
    </xf>
    <xf numFmtId="0" fontId="0" fillId="0" borderId="4" xfId="0" applyBorder="1"/>
    <xf numFmtId="0" fontId="3" fillId="0" borderId="2" xfId="0" applyFont="1" applyBorder="1"/>
    <xf numFmtId="0" fontId="3" fillId="0" borderId="1" xfId="0" applyFont="1" applyBorder="1"/>
    <xf numFmtId="0" fontId="7" fillId="0" borderId="0" xfId="0" applyFont="1" applyAlignment="1">
      <alignment horizontal="left"/>
    </xf>
    <xf numFmtId="0" fontId="11" fillId="0" borderId="0" xfId="0" applyFont="1" applyAlignment="1">
      <alignment horizontal="right"/>
    </xf>
    <xf numFmtId="0" fontId="8" fillId="0" borderId="0" xfId="0" applyFont="1" applyAlignment="1">
      <alignment horizontal="right"/>
    </xf>
    <xf numFmtId="0" fontId="7" fillId="0" borderId="3" xfId="0" applyFont="1" applyBorder="1"/>
    <xf numFmtId="0" fontId="14" fillId="0" borderId="0" xfId="0" applyFont="1" applyAlignment="1">
      <alignment shrinkToFit="1"/>
    </xf>
    <xf numFmtId="176" fontId="14" fillId="0" borderId="0" xfId="0" applyNumberFormat="1" applyFont="1" applyAlignment="1">
      <alignment shrinkToFit="1"/>
    </xf>
    <xf numFmtId="49" fontId="13" fillId="0" borderId="0" xfId="0" applyNumberFormat="1" applyFont="1" applyAlignment="1">
      <alignment horizontal="center"/>
    </xf>
    <xf numFmtId="0" fontId="0" fillId="0" borderId="1" xfId="0" applyBorder="1"/>
    <xf numFmtId="10" fontId="0" fillId="0" borderId="3" xfId="0" applyNumberFormat="1" applyBorder="1" applyAlignment="1">
      <alignment horizontal="center" shrinkToFit="1"/>
    </xf>
    <xf numFmtId="10" fontId="15" fillId="0" borderId="0" xfId="0" applyNumberFormat="1" applyFont="1" applyFill="1" applyAlignment="1" applyProtection="1">
      <alignment shrinkToFit="1"/>
    </xf>
    <xf numFmtId="177" fontId="15" fillId="0" borderId="0" xfId="0" applyNumberFormat="1" applyFont="1" applyAlignment="1">
      <alignment shrinkToFit="1"/>
    </xf>
    <xf numFmtId="9" fontId="15" fillId="0" borderId="0" xfId="0" applyNumberFormat="1" applyFont="1" applyAlignment="1">
      <alignment shrinkToFit="1"/>
    </xf>
    <xf numFmtId="0" fontId="0" fillId="0" borderId="0" xfId="0" applyAlignment="1">
      <alignment horizontal="left"/>
    </xf>
    <xf numFmtId="0" fontId="8" fillId="0" borderId="0" xfId="0" applyFont="1" applyAlignment="1">
      <alignment horizontal="left"/>
    </xf>
    <xf numFmtId="10" fontId="14" fillId="0" borderId="0" xfId="1" applyNumberFormat="1" applyFont="1" applyFill="1" applyBorder="1" applyAlignment="1" applyProtection="1">
      <alignment shrinkToFit="1"/>
    </xf>
    <xf numFmtId="0" fontId="0" fillId="0" borderId="0" xfId="0"/>
    <xf numFmtId="0" fontId="4" fillId="0" borderId="4" xfId="0" applyFont="1" applyBorder="1" applyAlignment="1">
      <alignment horizontal="center"/>
    </xf>
    <xf numFmtId="0" fontId="11" fillId="0" borderId="2" xfId="0" applyFont="1" applyBorder="1"/>
    <xf numFmtId="0" fontId="0" fillId="0" borderId="2" xfId="0" applyBorder="1"/>
    <xf numFmtId="0" fontId="11" fillId="0" borderId="0" xfId="0" applyFont="1"/>
    <xf numFmtId="0" fontId="8" fillId="0" borderId="0" xfId="0" applyFont="1"/>
    <xf numFmtId="0" fontId="0" fillId="0" borderId="0" xfId="0"/>
  </cellXfs>
  <cellStyles count="2">
    <cellStyle name="百分比" xfId="1" builtinId="5"/>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138"/>
  <sheetViews>
    <sheetView tabSelected="1" view="pageBreakPreview" zoomScaleNormal="85" zoomScaleSheetLayoutView="100" workbookViewId="0">
      <pane xSplit="1" ySplit="9" topLeftCell="B46" activePane="bottomRight" state="frozen"/>
      <selection pane="topRight" activeCell="B1" sqref="B1"/>
      <selection pane="bottomLeft" activeCell="A5" sqref="A5"/>
      <selection pane="bottomRight" activeCell="K1" sqref="K1"/>
    </sheetView>
  </sheetViews>
  <sheetFormatPr defaultRowHeight="15" x14ac:dyDescent="0.25"/>
  <cols>
    <col min="1" max="1" width="34" style="28" customWidth="1"/>
    <col min="2" max="2" width="13.7109375" customWidth="1"/>
    <col min="3" max="6" width="13.7109375" bestFit="1" customWidth="1"/>
    <col min="7" max="7" width="13" bestFit="1" customWidth="1"/>
    <col min="8" max="10" width="12.5703125" bestFit="1" customWidth="1"/>
    <col min="11" max="11" width="12.5703125" style="18" bestFit="1" customWidth="1"/>
    <col min="12" max="12" width="12.5703125" style="71" bestFit="1" customWidth="1"/>
  </cols>
  <sheetData>
    <row r="1" spans="1:12" x14ac:dyDescent="0.25">
      <c r="A1" s="30" t="s">
        <v>43</v>
      </c>
      <c r="B1" s="62" t="s">
        <v>131</v>
      </c>
      <c r="C1" s="21" t="s">
        <v>130</v>
      </c>
      <c r="D1" s="31" t="s">
        <v>31</v>
      </c>
      <c r="E1" s="32" t="str">
        <f ca="1">IF(OR(MIN(B4:OFFSET($B$4,0,$K$1-1))&gt;D2,MIN(B4:OFFSET($B$4,0,$K$1-1))=D2),"低风险",IF(OR(MIN(B4:OFFSET($B$4,0,$K$1-1))&gt;G2,MIN(B4:OFFSET($B$4,0,$K$1-1))=60),"中风险","高风险"))</f>
        <v>低风险</v>
      </c>
      <c r="F1" s="31" t="s">
        <v>123</v>
      </c>
      <c r="G1" s="33">
        <f ca="1">AVERAGE(B4:OFFSET($B$4,0,$K$1-1))</f>
        <v>76.371252204585531</v>
      </c>
      <c r="H1" s="31"/>
      <c r="I1" s="33"/>
      <c r="J1" s="31" t="s">
        <v>53</v>
      </c>
      <c r="K1" s="44">
        <v>6</v>
      </c>
    </row>
    <row r="2" spans="1:12" s="18" customFormat="1" x14ac:dyDescent="0.25">
      <c r="A2" s="27" t="s">
        <v>44</v>
      </c>
      <c r="B2" s="45" t="s">
        <v>125</v>
      </c>
      <c r="C2" s="45"/>
      <c r="D2" s="44">
        <v>75</v>
      </c>
      <c r="E2" s="3" t="s">
        <v>126</v>
      </c>
      <c r="F2" s="38" t="s">
        <v>52</v>
      </c>
      <c r="G2" s="44">
        <v>60</v>
      </c>
      <c r="H2" s="45" t="s">
        <v>51</v>
      </c>
      <c r="J2" s="40"/>
      <c r="K2" s="31"/>
      <c r="L2" s="71"/>
    </row>
    <row r="3" spans="1:12" s="28" customFormat="1" x14ac:dyDescent="0.25">
      <c r="A3" s="27" t="s">
        <v>41</v>
      </c>
      <c r="B3" s="27">
        <v>1</v>
      </c>
      <c r="C3" s="27">
        <f>B3+1</f>
        <v>2</v>
      </c>
      <c r="D3" s="27">
        <f t="shared" ref="D3:K3" si="0">C3+1</f>
        <v>3</v>
      </c>
      <c r="E3" s="27">
        <f t="shared" si="0"/>
        <v>4</v>
      </c>
      <c r="F3" s="27">
        <f t="shared" si="0"/>
        <v>5</v>
      </c>
      <c r="G3" s="27">
        <f t="shared" si="0"/>
        <v>6</v>
      </c>
      <c r="H3" s="27">
        <f t="shared" si="0"/>
        <v>7</v>
      </c>
      <c r="I3" s="27">
        <f t="shared" si="0"/>
        <v>8</v>
      </c>
      <c r="J3" s="27">
        <f t="shared" si="0"/>
        <v>9</v>
      </c>
      <c r="K3" s="27">
        <f t="shared" si="0"/>
        <v>10</v>
      </c>
      <c r="L3" s="71"/>
    </row>
    <row r="4" spans="1:12" s="28" customFormat="1" ht="15.75" thickBot="1" x14ac:dyDescent="0.3">
      <c r="A4" s="27" t="s">
        <v>42</v>
      </c>
      <c r="B4" s="29">
        <f ca="1">IF(B3&gt;$K$1,"",COUNTIF($B$5:OFFSET($B$5,999,B3-1),"正常")/IF(B3=$K$1,COUNTIF($A$5:$A$135,"结论")*B3-3,COUNTIF($A$5:$A$135,"结论")*B3)*100)</f>
        <v>77.777777777777786</v>
      </c>
      <c r="C4" s="29">
        <f ca="1">IF(C3&gt;$K$1,"",COUNTIF($B$5:OFFSET($B$5,999,C3-1),"正常")/IF(C3=$K$1,COUNTIF($A$5:$A$135,"结论")*C3-3,COUNTIF($A$5:$A$135,"结论")*C3)*100)</f>
        <v>75</v>
      </c>
      <c r="D4" s="29">
        <f ca="1">IF(D3&gt;$K$1,"",COUNTIF($B$5:OFFSET($B$5,999,D3-1),"正常")/IF(D3=$K$1,COUNTIF($A$5:$A$135,"结论")*D3-3,COUNTIF($A$5:$A$135,"结论")*D3)*100)</f>
        <v>75.925925925925924</v>
      </c>
      <c r="E4" s="29">
        <f ca="1">IF(E3&gt;$K$1,"",COUNTIF($B$5:OFFSET($B$5,999,E3-1),"正常")/IF(E3=$K$1,COUNTIF($A$5:$A$135,"结论")*E3-3,COUNTIF($A$5:$A$135,"结论")*E3)*100)</f>
        <v>77.777777777777786</v>
      </c>
      <c r="F4" s="29">
        <f ca="1">IF(F3&gt;$K$1,"",COUNTIF($B$5:OFFSET($B$5,999,F3-1),"正常")/IF(F3=$K$1,COUNTIF($A$5:$A$135,"结论")*F3-3,COUNTIF($A$5:$A$135,"结论")*F3)*100)</f>
        <v>75.555555555555557</v>
      </c>
      <c r="G4" s="29">
        <f ca="1">IF(G3&gt;$K$1,"",COUNTIF($B$5:OFFSET($B$5,999,G3-1),"正常")/IF(G3=$K$1,COUNTIF($A$5:$A$135,"结论")*G3-3,COUNTIF($A$5:$A$135,"结论")*G3)*100)</f>
        <v>76.19047619047619</v>
      </c>
      <c r="H4" s="29" t="str">
        <f ca="1">IF(H3&gt;$K$1,"",COUNTIF($B$5:OFFSET($B$5,999,H3-1),"正常")/IF(H3=$K$1,COUNTIF($A$5:$A$135,"结论")*H3-3,COUNTIF($A$5:$A$135,"结论")*H3)*100)</f>
        <v/>
      </c>
      <c r="I4" s="29" t="str">
        <f ca="1">IF(I3&gt;$K$1,"",COUNTIF($B$5:OFFSET($B$5,999,I3-1),"正常")/IF(I3=$K$1,COUNTIF($A$5:$A$135,"结论")*I3-3,COUNTIF($A$5:$A$135,"结论")*I3)*100)</f>
        <v/>
      </c>
      <c r="J4" s="29" t="str">
        <f ca="1">IF(J3&gt;$K$1,"",COUNTIF($B$5:OFFSET($B$5,999,J3-1),"正常")/IF(J3=$K$1,COUNTIF($A$5:$A$135,"结论")*J3-3,COUNTIF($A$5:$A$135,"结论")*J3)*100)</f>
        <v/>
      </c>
      <c r="K4" s="29" t="str">
        <f ca="1">IF(K3&gt;$K$1,"",COUNTIF($B$5:OFFSET($B$5,999,K3-1),"正常")/IF(K3=$K$1,COUNTIF($A$5:$A$135,"结论")*K3-3,COUNTIF($A$5:$A$135,"结论")*K3)*100)</f>
        <v/>
      </c>
      <c r="L4" s="71"/>
    </row>
    <row r="5" spans="1:12" ht="15.75" thickTop="1" x14ac:dyDescent="0.25">
      <c r="A5" s="53" t="s">
        <v>0</v>
      </c>
      <c r="B5" s="72" t="str">
        <f>VLOOKUP($A5,资产负债表!$A$2:$K$98,B$3+1,)&amp;"年报"</f>
        <v>2018年报</v>
      </c>
      <c r="C5" s="72" t="str">
        <f>VLOOKUP($A5,资产负债表!$A$2:$K$98,C$3+1,)&amp;"年报"</f>
        <v>2017年报</v>
      </c>
      <c r="D5" s="72" t="str">
        <f>VLOOKUP($A5,资产负债表!$A$2:$K$98,D$3+1,)&amp;"年报"</f>
        <v>2016年报</v>
      </c>
      <c r="E5" s="72" t="str">
        <f>VLOOKUP($A5,资产负债表!$A$2:$K$98,E$3+1,)&amp;"年报"</f>
        <v>2015年报</v>
      </c>
      <c r="F5" s="72" t="str">
        <f>VLOOKUP($A5,资产负债表!$A$2:$K$98,F$3+1,)&amp;"年报"</f>
        <v>2014年报</v>
      </c>
      <c r="G5" s="72" t="str">
        <f>VLOOKUP($A5,资产负债表!$A$2:$K$98,G$3+1,)&amp;"年报"</f>
        <v>2013年报</v>
      </c>
      <c r="H5" s="72" t="str">
        <f>VLOOKUP($A5,资产负债表!$A$2:$K$98,H$3+1,)&amp;"年报"</f>
        <v>2012年报</v>
      </c>
      <c r="I5" s="72" t="str">
        <f>VLOOKUP($A5,资产负债表!$A$2:$K$98,I$3+1,)&amp;"年报"</f>
        <v>2011年报</v>
      </c>
      <c r="J5" s="72" t="str">
        <f>VLOOKUP($A5,资产负债表!$A$2:$K$98,J$3+1,)&amp;"年报"</f>
        <v>2010年报</v>
      </c>
      <c r="K5" s="72" t="str">
        <f>VLOOKUP($A5,资产负债表!$A$2:$K$98,K$3+1,)&amp;"年报"</f>
        <v>2009年报</v>
      </c>
      <c r="L5" s="72" t="s">
        <v>338</v>
      </c>
    </row>
    <row r="6" spans="1:12" x14ac:dyDescent="0.25">
      <c r="A6" s="36" t="s">
        <v>301</v>
      </c>
      <c r="B6" s="34">
        <f>VLOOKUP($A6,利润表!$A$2:$K$99,B$3+1,)</f>
        <v>261819635000</v>
      </c>
      <c r="C6" s="34">
        <f>VLOOKUP($A6,利润表!$A$2:$K$99,C$3+1,)</f>
        <v>241918896000</v>
      </c>
      <c r="D6" s="34">
        <f>VLOOKUP($A6,利润表!$A$2:$K$99,D$3+1,)</f>
        <v>159841701000</v>
      </c>
      <c r="E6" s="34">
        <f>VLOOKUP($A6,利润表!$A$2:$K$99,E$3+1,)</f>
        <v>139347124000</v>
      </c>
      <c r="F6" s="34">
        <f>VLOOKUP($A6,利润表!$A$2:$K$99,F$3+1,)</f>
        <v>142310967000</v>
      </c>
      <c r="G6" s="34">
        <f>VLOOKUP($A6,利润表!$A$2:$K$99,G$3+1,)</f>
        <v>121265180020</v>
      </c>
      <c r="H6" s="34">
        <f>VLOOKUP($A6,利润表!$A$2:$K$99,H$3+1,)</f>
        <v>102713022570</v>
      </c>
      <c r="I6" s="34">
        <f>VLOOKUP($A6,利润表!$A$2:$K$99,I$3+1,)</f>
        <v>134116154200</v>
      </c>
      <c r="J6" s="34">
        <f>VLOOKUP($A6,利润表!$A$2:$K$99,J$3+1,)</f>
        <v>110263072250</v>
      </c>
      <c r="K6" s="34">
        <f>VLOOKUP($A6,利润表!$A$2:$K$99,K$3+1,)</f>
        <v>69043312610.649994</v>
      </c>
      <c r="L6" s="27" t="s">
        <v>354</v>
      </c>
    </row>
    <row r="7" spans="1:12" s="18" customFormat="1" x14ac:dyDescent="0.25">
      <c r="A7" s="36" t="s">
        <v>7</v>
      </c>
      <c r="B7" s="34">
        <f>VLOOKUP($A7,利润表!$A$2:$K$99,B$3+1,)</f>
        <v>188164557000</v>
      </c>
      <c r="C7" s="34">
        <f>VLOOKUP($A7,利润表!$A$2:$K$99,C$3+1,)</f>
        <v>180460552000</v>
      </c>
      <c r="D7" s="34">
        <f>VLOOKUP($A7,利润表!$A$2:$K$99,D$3+1,)</f>
        <v>115615437000</v>
      </c>
      <c r="E7" s="34">
        <f>VLOOKUP($A7,利润表!$A$2:$K$99,E$3+1,)</f>
        <v>102662818000</v>
      </c>
      <c r="F7" s="34">
        <f>VLOOKUP($A7,利润表!$A$2:$K$99,F$3+1,)</f>
        <v>105669686000</v>
      </c>
      <c r="G7" s="34">
        <f>VLOOKUP($A7,利润表!$A$2:$K$99,G$3+1,)</f>
        <v>92818063100</v>
      </c>
      <c r="H7" s="34">
        <f>VLOOKUP($A7,利润表!$A$2:$K$99,H$3+1,)</f>
        <v>79449035900</v>
      </c>
      <c r="I7" s="34">
        <f>VLOOKUP($A7,利润表!$A$2:$K$99,I$3+1,)</f>
        <v>108418755300</v>
      </c>
      <c r="J7" s="34">
        <f>VLOOKUP($A7,利润表!$A$2:$K$99,J$3+1,)</f>
        <v>90224295700</v>
      </c>
      <c r="K7" s="34">
        <f>VLOOKUP($A7,利润表!$A$2:$K$99,K$3+1,)</f>
        <v>53446834300</v>
      </c>
      <c r="L7" s="71"/>
    </row>
    <row r="8" spans="1:12" x14ac:dyDescent="0.25">
      <c r="A8" s="36" t="s">
        <v>67</v>
      </c>
      <c r="B8" s="70">
        <f>IF(VLOOKUP($A8,主要指标!$A$2:$K$99,B$3+1,)="","",--VLOOKUP($A8,主要指标!$A$2:$K$99,B$3+1,))</f>
        <v>0.15790000000000001</v>
      </c>
      <c r="C8" s="70">
        <f>IF(VLOOKUP($A8,主要指标!$A$2:$K$99,C$3+1,)="","",--VLOOKUP($A8,主要指标!$A$2:$K$99,C$3+1,))</f>
        <v>0.16159999999999999</v>
      </c>
      <c r="D8" s="70">
        <f>IF(VLOOKUP($A8,主要指标!$A$2:$K$99,D$3+1,)="","",--VLOOKUP($A8,主要指标!$A$2:$K$99,D$3+1,))</f>
        <v>0.14499999999999999</v>
      </c>
      <c r="E8" s="70">
        <f>IF(VLOOKUP($A8,主要指标!$A$2:$K$99,E$3+1,)="","",--VLOOKUP($A8,主要指标!$A$2:$K$99,E$3+1,))</f>
        <v>0.20080000000000001</v>
      </c>
      <c r="F8" s="70">
        <f>IF(VLOOKUP($A8,主要指标!$A$2:$K$99,F$3+1,)="","",--VLOOKUP($A8,主要指标!$A$2:$K$99,F$3+1,))</f>
        <v>0.43930000000000002</v>
      </c>
      <c r="G8" s="70">
        <f>IF(VLOOKUP($A8,主要指标!$A$2:$K$99,G$3+1,)="","",--VLOOKUP($A8,主要指标!$A$2:$K$99,G$3+1,))</f>
        <v>0.32819999999999999</v>
      </c>
      <c r="H8" s="70" t="str">
        <f>IF(VLOOKUP($A8,主要指标!$A$2:$K$99,H$3+1,)="","",--VLOOKUP($A8,主要指标!$A$2:$K$99,H$3+1,))</f>
        <v/>
      </c>
      <c r="I8" s="70" t="str">
        <f>IF(VLOOKUP($A8,主要指标!$A$2:$K$99,I$3+1,)="","",--VLOOKUP($A8,主要指标!$A$2:$K$99,I$3+1,))</f>
        <v/>
      </c>
      <c r="J8" s="70" t="str">
        <f>IF(VLOOKUP($A8,主要指标!$A$2:$K$99,J$3+1,)="","",--VLOOKUP($A8,主要指标!$A$2:$K$99,J$3+1,))</f>
        <v/>
      </c>
      <c r="K8" s="70" t="str">
        <f>IF(VLOOKUP($A8,主要指标!$A$2:$K$99,K$3+1,)="","",--VLOOKUP($A8,主要指标!$A$2:$K$99,K$3+1,))</f>
        <v/>
      </c>
    </row>
    <row r="9" spans="1:12" x14ac:dyDescent="0.25">
      <c r="A9" s="27" t="s">
        <v>68</v>
      </c>
      <c r="B9" s="34">
        <f>VLOOKUP($A9,资产负债表!$A$2:$K$99,B$3+1,)</f>
        <v>263701148000</v>
      </c>
      <c r="C9" s="34">
        <f>VLOOKUP($A9,资产负债表!$A$2:$K$99,C$3+1,)</f>
        <v>248106858000</v>
      </c>
      <c r="D9" s="34">
        <f>VLOOKUP($A9,资产负债表!$A$2:$K$99,D$3+1,)</f>
        <v>170600711000</v>
      </c>
      <c r="E9" s="34">
        <f>VLOOKUP($A9,资产负债表!$A$2:$K$99,E$3+1,)</f>
        <v>128841935000</v>
      </c>
      <c r="F9" s="34">
        <f>VLOOKUP($A9,资产负债表!$A$2:$K$99,F$3+1,)</f>
        <v>120292086000</v>
      </c>
      <c r="G9" s="34">
        <f>VLOOKUP($A9,资产负债表!$A$2:$K$99,G$3+1,)</f>
        <v>96946024800</v>
      </c>
      <c r="H9" s="34">
        <f>VLOOKUP($A9,资产负债表!$A$2:$K$99,H$3+1,)</f>
        <v>87736527000</v>
      </c>
      <c r="I9" s="34">
        <f>VLOOKUP($A9,资产负债表!$A$2:$K$99,I$3+1,)</f>
        <v>90345141800</v>
      </c>
      <c r="J9" s="34">
        <f>VLOOKUP($A9,资产负债表!$A$2:$K$99,J$3+1,)</f>
        <v>70960357100</v>
      </c>
      <c r="K9" s="34">
        <f>VLOOKUP($A9,资产负债表!$A$2:$K$99,K$3+1,)</f>
        <v>52065830000</v>
      </c>
    </row>
    <row r="10" spans="1:12" x14ac:dyDescent="0.25">
      <c r="A10" s="54" t="s">
        <v>69</v>
      </c>
      <c r="B10" s="14">
        <v>15857413</v>
      </c>
      <c r="C10" s="14">
        <v>21954206</v>
      </c>
      <c r="D10" s="14">
        <v>16151724</v>
      </c>
      <c r="E10" s="14">
        <v>11437417</v>
      </c>
      <c r="F10" s="14">
        <v>3010484.74</v>
      </c>
      <c r="G10" s="14">
        <v>14946953.960000001</v>
      </c>
      <c r="H10" s="14"/>
      <c r="I10" s="14"/>
      <c r="J10" s="14"/>
      <c r="K10" s="14"/>
      <c r="L10" s="73" t="s">
        <v>333</v>
      </c>
    </row>
    <row r="11" spans="1:12" x14ac:dyDescent="0.25">
      <c r="A11" s="36" t="s">
        <v>70</v>
      </c>
      <c r="B11" s="7">
        <f>IF(ISERROR(B10/B$6),"",B10/B$6)</f>
        <v>6.0566171822827575E-5</v>
      </c>
      <c r="C11" s="7">
        <f t="shared" ref="C11:K11" si="1">IF(ISERROR(C10/C$6),"",C10/C$6)</f>
        <v>9.0750273595825273E-5</v>
      </c>
      <c r="D11" s="7">
        <f t="shared" si="1"/>
        <v>1.0104824897978282E-4</v>
      </c>
      <c r="E11" s="7">
        <f t="shared" si="1"/>
        <v>8.2078601062480491E-5</v>
      </c>
      <c r="F11" s="7">
        <f t="shared" si="1"/>
        <v>2.1154270844073458E-5</v>
      </c>
      <c r="G11" s="7">
        <f t="shared" si="1"/>
        <v>1.2325841562709785E-4</v>
      </c>
      <c r="H11" s="7">
        <f t="shared" si="1"/>
        <v>0</v>
      </c>
      <c r="I11" s="7">
        <f t="shared" si="1"/>
        <v>0</v>
      </c>
      <c r="J11" s="7">
        <f t="shared" si="1"/>
        <v>0</v>
      </c>
      <c r="K11" s="7">
        <f t="shared" si="1"/>
        <v>0</v>
      </c>
    </row>
    <row r="12" spans="1:12" x14ac:dyDescent="0.25">
      <c r="A12" s="36" t="s">
        <v>71</v>
      </c>
      <c r="B12" s="11">
        <v>1964902</v>
      </c>
      <c r="C12" s="11">
        <v>955657</v>
      </c>
      <c r="D12" s="11">
        <v>349807</v>
      </c>
      <c r="E12" s="11">
        <v>338647</v>
      </c>
      <c r="F12" s="11">
        <v>227997.77</v>
      </c>
      <c r="G12" s="11">
        <v>86332.46</v>
      </c>
      <c r="H12" s="11"/>
      <c r="I12" s="11"/>
      <c r="J12" s="11"/>
      <c r="K12" s="11"/>
      <c r="L12" s="36" t="s">
        <v>334</v>
      </c>
    </row>
    <row r="13" spans="1:12" x14ac:dyDescent="0.25">
      <c r="A13" s="36" t="s">
        <v>72</v>
      </c>
      <c r="B13" s="8">
        <f>IF(ISERROR(B12/B10),"",B12/B10)</f>
        <v>0.12391062779281842</v>
      </c>
      <c r="C13" s="8">
        <f t="shared" ref="C13:K13" si="2">IF(ISERROR(C12/C10),"",C12/C10)</f>
        <v>4.3529563310101035E-2</v>
      </c>
      <c r="D13" s="8">
        <f t="shared" si="2"/>
        <v>2.1657564232771685E-2</v>
      </c>
      <c r="E13" s="8">
        <f t="shared" si="2"/>
        <v>2.9608695739606242E-2</v>
      </c>
      <c r="F13" s="8">
        <f t="shared" si="2"/>
        <v>7.5734570905016438E-2</v>
      </c>
      <c r="G13" s="8">
        <f t="shared" si="2"/>
        <v>5.7759233239787142E-3</v>
      </c>
      <c r="H13" s="8" t="str">
        <f t="shared" si="2"/>
        <v/>
      </c>
      <c r="I13" s="8" t="str">
        <f t="shared" si="2"/>
        <v/>
      </c>
      <c r="J13" s="8" t="str">
        <f t="shared" si="2"/>
        <v/>
      </c>
      <c r="K13" s="8" t="str">
        <f t="shared" si="2"/>
        <v/>
      </c>
    </row>
    <row r="14" spans="1:12" x14ac:dyDescent="0.25">
      <c r="A14" s="36" t="s">
        <v>44</v>
      </c>
      <c r="B14" s="4" t="s">
        <v>23</v>
      </c>
      <c r="C14" s="65">
        <v>0.01</v>
      </c>
      <c r="D14" s="4" t="s">
        <v>22</v>
      </c>
      <c r="E14" s="65">
        <v>0.04</v>
      </c>
      <c r="F14" s="19" t="s">
        <v>37</v>
      </c>
      <c r="G14" s="15"/>
      <c r="H14" s="1"/>
      <c r="I14" s="1"/>
      <c r="J14" s="1"/>
      <c r="K14" s="1"/>
    </row>
    <row r="15" spans="1:12" s="28" customFormat="1" x14ac:dyDescent="0.25">
      <c r="A15" s="55" t="s">
        <v>31</v>
      </c>
      <c r="B15" s="26" t="str">
        <f>IF(B3&gt;$K$1,"",IF(AND(B10="--",B12="--"),"正常",IF(B13="","",IF(B13&lt;$C14,"过低",IF(B13&gt;$E14,"过高","正常")))))</f>
        <v>过高</v>
      </c>
      <c r="C15" s="26" t="str">
        <f t="shared" ref="C15:K15" si="3">IF(C3&gt;$K$1,"",IF(AND(C10="--",C12="--"),"正常",IF(C13="","",IF(C13&lt;$C14,"过低",IF(C13&gt;$E14,"过高","正常")))))</f>
        <v>过高</v>
      </c>
      <c r="D15" s="26" t="str">
        <f t="shared" si="3"/>
        <v>正常</v>
      </c>
      <c r="E15" s="26" t="str">
        <f t="shared" si="3"/>
        <v>正常</v>
      </c>
      <c r="F15" s="26" t="str">
        <f t="shared" si="3"/>
        <v>过高</v>
      </c>
      <c r="G15" s="26" t="str">
        <f t="shared" si="3"/>
        <v>过低</v>
      </c>
      <c r="H15" s="26" t="str">
        <f t="shared" si="3"/>
        <v/>
      </c>
      <c r="I15" s="26" t="str">
        <f t="shared" si="3"/>
        <v/>
      </c>
      <c r="J15" s="26" t="str">
        <f t="shared" si="3"/>
        <v/>
      </c>
      <c r="K15" s="26" t="str">
        <f t="shared" si="3"/>
        <v/>
      </c>
      <c r="L15" s="63"/>
    </row>
    <row r="16" spans="1:12" x14ac:dyDescent="0.25">
      <c r="A16" s="54" t="s">
        <v>73</v>
      </c>
      <c r="B16" s="14">
        <v>1550000000</v>
      </c>
      <c r="C16" s="14">
        <v>21243000000</v>
      </c>
      <c r="D16" s="14">
        <v>26267067</v>
      </c>
      <c r="E16" s="14">
        <v>18236831</v>
      </c>
      <c r="F16" s="14">
        <v>24793080</v>
      </c>
      <c r="G16" s="14">
        <v>0</v>
      </c>
      <c r="H16" s="14"/>
      <c r="I16" s="14"/>
      <c r="J16" s="14"/>
      <c r="K16" s="14"/>
      <c r="L16" s="54" t="s">
        <v>335</v>
      </c>
    </row>
    <row r="17" spans="1:12" x14ac:dyDescent="0.25">
      <c r="A17" s="36" t="s">
        <v>74</v>
      </c>
      <c r="B17" s="8">
        <f>IF(ISERROR(B16/B$6),"",B16/B$6)</f>
        <v>5.9201060302448288E-3</v>
      </c>
      <c r="C17" s="8">
        <f t="shared" ref="C17:K17" si="4">IF(ISERROR(C16/C$6),"",C16/C$6)</f>
        <v>8.781042056342718E-2</v>
      </c>
      <c r="D17" s="8">
        <f t="shared" si="4"/>
        <v>1.6433175345149763E-4</v>
      </c>
      <c r="E17" s="8">
        <f t="shared" si="4"/>
        <v>1.3087339355493264E-4</v>
      </c>
      <c r="F17" s="8">
        <f t="shared" si="4"/>
        <v>1.7421763426004968E-4</v>
      </c>
      <c r="G17" s="8">
        <f t="shared" si="4"/>
        <v>0</v>
      </c>
      <c r="H17" s="8">
        <f t="shared" si="4"/>
        <v>0</v>
      </c>
      <c r="I17" s="8">
        <f t="shared" si="4"/>
        <v>0</v>
      </c>
      <c r="J17" s="8">
        <f t="shared" si="4"/>
        <v>0</v>
      </c>
      <c r="K17" s="8">
        <f t="shared" si="4"/>
        <v>0</v>
      </c>
    </row>
    <row r="18" spans="1:12" x14ac:dyDescent="0.25">
      <c r="A18" s="36" t="s">
        <v>75</v>
      </c>
      <c r="B18" s="11" t="s">
        <v>20</v>
      </c>
      <c r="C18" s="11" t="s">
        <v>20</v>
      </c>
      <c r="D18" s="11" t="s">
        <v>20</v>
      </c>
      <c r="E18" s="11" t="s">
        <v>20</v>
      </c>
      <c r="F18" s="11" t="s">
        <v>20</v>
      </c>
      <c r="G18" s="11" t="s">
        <v>20</v>
      </c>
      <c r="H18" s="11" t="s">
        <v>20</v>
      </c>
      <c r="I18" s="11" t="s">
        <v>20</v>
      </c>
      <c r="J18" s="11" t="s">
        <v>20</v>
      </c>
      <c r="K18" s="11" t="s">
        <v>20</v>
      </c>
      <c r="L18" s="36" t="s">
        <v>336</v>
      </c>
    </row>
    <row r="19" spans="1:12" x14ac:dyDescent="0.25">
      <c r="A19" s="36" t="s">
        <v>72</v>
      </c>
      <c r="B19" s="8" t="str">
        <f>IF(ISERROR(B18/B16),"",B18/B16)</f>
        <v/>
      </c>
      <c r="C19" s="8" t="str">
        <f t="shared" ref="C19:G19" si="5">IF(ISERROR(C18/C16),"",C18/C16)</f>
        <v/>
      </c>
      <c r="D19" s="8" t="str">
        <f t="shared" si="5"/>
        <v/>
      </c>
      <c r="E19" s="8" t="str">
        <f t="shared" si="5"/>
        <v/>
      </c>
      <c r="F19" s="8" t="str">
        <f t="shared" si="5"/>
        <v/>
      </c>
      <c r="G19" s="8" t="str">
        <f t="shared" si="5"/>
        <v/>
      </c>
      <c r="H19" s="8" t="str">
        <f t="shared" ref="H19" si="6">IF(ISERROR(H18/H16),"",H18/H16)</f>
        <v/>
      </c>
      <c r="I19" s="8" t="str">
        <f t="shared" ref="I19" si="7">IF(ISERROR(I18/I16),"",I18/I16)</f>
        <v/>
      </c>
      <c r="J19" s="8" t="str">
        <f t="shared" ref="J19" si="8">IF(ISERROR(J18/J16),"",J18/J16)</f>
        <v/>
      </c>
      <c r="K19" s="8" t="str">
        <f t="shared" ref="K19" si="9">IF(ISERROR(K18/K16),"",K18/K16)</f>
        <v/>
      </c>
    </row>
    <row r="20" spans="1:12" x14ac:dyDescent="0.25">
      <c r="A20" s="36" t="s">
        <v>44</v>
      </c>
      <c r="B20" s="4" t="s">
        <v>23</v>
      </c>
      <c r="C20" s="65">
        <v>0.03</v>
      </c>
      <c r="D20" s="4" t="s">
        <v>22</v>
      </c>
      <c r="E20" s="65">
        <v>0.05</v>
      </c>
      <c r="F20" s="19" t="s">
        <v>37</v>
      </c>
      <c r="G20" s="1"/>
      <c r="H20" s="1"/>
      <c r="I20" s="1"/>
      <c r="J20" s="1"/>
      <c r="K20" s="1"/>
    </row>
    <row r="21" spans="1:12" s="28" customFormat="1" x14ac:dyDescent="0.25">
      <c r="A21" s="55" t="s">
        <v>31</v>
      </c>
      <c r="B21" s="26" t="str">
        <f t="shared" ref="B21:J21" si="10">IF(B3&gt;$K$1,"",IF(AND(B16="--",B18="--"),"正常",IF(B19="","正常",IF(B19&lt;$C20,"过低",IF(B19&gt;$E20,"过高","正常")))))</f>
        <v>正常</v>
      </c>
      <c r="C21" s="26" t="str">
        <f t="shared" si="10"/>
        <v>正常</v>
      </c>
      <c r="D21" s="26" t="str">
        <f t="shared" si="10"/>
        <v>正常</v>
      </c>
      <c r="E21" s="26" t="str">
        <f t="shared" si="10"/>
        <v>正常</v>
      </c>
      <c r="F21" s="26" t="str">
        <f t="shared" si="10"/>
        <v>正常</v>
      </c>
      <c r="G21" s="26" t="str">
        <f t="shared" si="10"/>
        <v>正常</v>
      </c>
      <c r="H21" s="26" t="str">
        <f t="shared" si="10"/>
        <v/>
      </c>
      <c r="I21" s="26" t="str">
        <f t="shared" si="10"/>
        <v/>
      </c>
      <c r="J21" s="26" t="str">
        <f t="shared" si="10"/>
        <v/>
      </c>
      <c r="K21" s="26" t="str">
        <f>IF(K3&gt;$K$1,"",IF(AND(K16="--",K18="--"),"正常",IF(K19="","正常",IF(K19&lt;$C20,"过低",IF(K19&gt;$E20,"过高","正常")))))</f>
        <v/>
      </c>
      <c r="L21" s="63"/>
    </row>
    <row r="22" spans="1:12" s="18" customFormat="1" x14ac:dyDescent="0.25">
      <c r="A22" s="54" t="s">
        <v>76</v>
      </c>
      <c r="B22" s="46">
        <f t="shared" ref="B22:K24" si="11">IF(AND(B10="",B16=""),"",IF(NOT(ISNUMBER(B10)),B16,IF(NOT(ISNUMBER(B16)),B10,B10+B16)))</f>
        <v>1565857413</v>
      </c>
      <c r="C22" s="46">
        <f t="shared" si="11"/>
        <v>21264954206</v>
      </c>
      <c r="D22" s="46">
        <f t="shared" si="11"/>
        <v>42418791</v>
      </c>
      <c r="E22" s="46">
        <f t="shared" si="11"/>
        <v>29674248</v>
      </c>
      <c r="F22" s="46">
        <f t="shared" si="11"/>
        <v>27803564.740000002</v>
      </c>
      <c r="G22" s="46">
        <f t="shared" si="11"/>
        <v>14946953.960000001</v>
      </c>
      <c r="H22" s="46" t="str">
        <f t="shared" si="11"/>
        <v/>
      </c>
      <c r="I22" s="46" t="str">
        <f t="shared" si="11"/>
        <v/>
      </c>
      <c r="J22" s="46" t="str">
        <f t="shared" si="11"/>
        <v/>
      </c>
      <c r="K22" s="46" t="str">
        <f>IF(AND(K10="",K16=""),"",IF(NOT(ISNUMBER(K10)),K16,IF(NOT(ISNUMBER(K16)),K10,K10+K16)))</f>
        <v/>
      </c>
      <c r="L22" s="36" t="s">
        <v>337</v>
      </c>
    </row>
    <row r="23" spans="1:12" s="18" customFormat="1" x14ac:dyDescent="0.25">
      <c r="A23" s="36" t="s">
        <v>77</v>
      </c>
      <c r="B23" s="43">
        <f>IF(ISERROR(B22/B$6),"",B22/B$6)</f>
        <v>5.9806722020676563E-3</v>
      </c>
      <c r="C23" s="43">
        <f t="shared" ref="C23:K23" si="12">IF(ISERROR(C22/C$6),"",C22/C$6)</f>
        <v>8.7901170837022993E-2</v>
      </c>
      <c r="D23" s="43">
        <f t="shared" si="12"/>
        <v>2.6538000243128045E-4</v>
      </c>
      <c r="E23" s="43">
        <f t="shared" si="12"/>
        <v>2.1295199461741313E-4</v>
      </c>
      <c r="F23" s="43">
        <f t="shared" si="12"/>
        <v>1.9537190510412314E-4</v>
      </c>
      <c r="G23" s="43">
        <f t="shared" si="12"/>
        <v>1.2325841562709785E-4</v>
      </c>
      <c r="H23" s="43" t="str">
        <f t="shared" si="12"/>
        <v/>
      </c>
      <c r="I23" s="43" t="str">
        <f t="shared" si="12"/>
        <v/>
      </c>
      <c r="J23" s="43" t="str">
        <f t="shared" si="12"/>
        <v/>
      </c>
      <c r="K23" s="43" t="str">
        <f t="shared" si="12"/>
        <v/>
      </c>
      <c r="L23" s="71"/>
    </row>
    <row r="24" spans="1:12" s="18" customFormat="1" x14ac:dyDescent="0.25">
      <c r="A24" s="36" t="s">
        <v>78</v>
      </c>
      <c r="B24" s="35">
        <f t="shared" si="11"/>
        <v>1964902</v>
      </c>
      <c r="C24" s="35">
        <f t="shared" si="11"/>
        <v>955657</v>
      </c>
      <c r="D24" s="35">
        <f t="shared" si="11"/>
        <v>349807</v>
      </c>
      <c r="E24" s="35">
        <f t="shared" si="11"/>
        <v>338647</v>
      </c>
      <c r="F24" s="35">
        <f t="shared" si="11"/>
        <v>227997.77</v>
      </c>
      <c r="G24" s="35">
        <f t="shared" si="11"/>
        <v>86332.46</v>
      </c>
      <c r="H24" s="35" t="str">
        <f t="shared" si="11"/>
        <v>--</v>
      </c>
      <c r="I24" s="35" t="str">
        <f t="shared" si="11"/>
        <v>--</v>
      </c>
      <c r="J24" s="35" t="str">
        <f t="shared" si="11"/>
        <v>--</v>
      </c>
      <c r="K24" s="35" t="str">
        <f t="shared" si="11"/>
        <v>--</v>
      </c>
      <c r="L24" s="36"/>
    </row>
    <row r="25" spans="1:12" s="18" customFormat="1" x14ac:dyDescent="0.25">
      <c r="A25" s="36" t="s">
        <v>72</v>
      </c>
      <c r="B25" s="43">
        <f t="shared" ref="B25:F25" si="13">IF(B3&lt;$K$1+1,IF(ISERROR(B24/B22),0,B24/B22),"")</f>
        <v>1.2548409476412525E-3</v>
      </c>
      <c r="C25" s="43">
        <f t="shared" si="13"/>
        <v>4.4940468281392172E-5</v>
      </c>
      <c r="D25" s="43">
        <f t="shared" si="13"/>
        <v>8.2465103731975773E-3</v>
      </c>
      <c r="E25" s="43">
        <f t="shared" si="13"/>
        <v>1.1412151034122246E-2</v>
      </c>
      <c r="F25" s="43">
        <f t="shared" si="13"/>
        <v>8.2003071236397135E-3</v>
      </c>
      <c r="G25" s="43">
        <f>IF(G3&lt;$K$1+1,IF(ISERROR(G24/G22),0,G24/G22),"")</f>
        <v>5.7759233239787142E-3</v>
      </c>
      <c r="H25" s="43" t="str">
        <f>IF(H3&lt;$K$1+1,IF(ISERROR(H24/H22),0,H24/H22),"")</f>
        <v/>
      </c>
      <c r="I25" s="43" t="str">
        <f t="shared" ref="I25:K25" si="14">IF(I3&lt;$K$1+1,IF(ISERROR(I24/I22),0,I24/I22),"")</f>
        <v/>
      </c>
      <c r="J25" s="43" t="str">
        <f t="shared" si="14"/>
        <v/>
      </c>
      <c r="K25" s="43" t="str">
        <f t="shared" si="14"/>
        <v/>
      </c>
      <c r="L25" s="71"/>
    </row>
    <row r="26" spans="1:12" s="18" customFormat="1" x14ac:dyDescent="0.25">
      <c r="A26" s="36" t="s">
        <v>44</v>
      </c>
      <c r="B26" s="4" t="s">
        <v>23</v>
      </c>
      <c r="C26" s="8">
        <v>0.01</v>
      </c>
      <c r="D26" s="4" t="s">
        <v>22</v>
      </c>
      <c r="E26" s="8">
        <v>0.05</v>
      </c>
      <c r="F26" s="19" t="s">
        <v>37</v>
      </c>
      <c r="G26" s="1"/>
      <c r="H26" s="1"/>
      <c r="I26" s="1"/>
      <c r="J26" s="1"/>
      <c r="K26" s="1"/>
      <c r="L26" s="71"/>
    </row>
    <row r="27" spans="1:12" s="28" customFormat="1" x14ac:dyDescent="0.25">
      <c r="A27" s="55" t="s">
        <v>31</v>
      </c>
      <c r="B27" s="26" t="str">
        <f>IF(B3&gt;$K$1,"",IF(AND(B22="--",B24="--"),"正常",IF(B25="","",IF(B25&lt;$C26,"过低",IF(B25&gt;$E26,"过高","正常")))))</f>
        <v>过低</v>
      </c>
      <c r="C27" s="26" t="str">
        <f t="shared" ref="C27:K27" si="15">IF(C3&gt;$K$1,"",IF(AND(C22="--",C24="--"),"正常",IF(C25="","",IF(C25&lt;$C26,"过低",IF(C25&gt;$E26,"过高","正常")))))</f>
        <v>过低</v>
      </c>
      <c r="D27" s="26" t="str">
        <f t="shared" si="15"/>
        <v>过低</v>
      </c>
      <c r="E27" s="26" t="str">
        <f t="shared" si="15"/>
        <v>正常</v>
      </c>
      <c r="F27" s="26" t="str">
        <f t="shared" si="15"/>
        <v>过低</v>
      </c>
      <c r="G27" s="26" t="str">
        <f t="shared" si="15"/>
        <v>过低</v>
      </c>
      <c r="H27" s="26" t="str">
        <f t="shared" si="15"/>
        <v/>
      </c>
      <c r="I27" s="26" t="str">
        <f t="shared" si="15"/>
        <v/>
      </c>
      <c r="J27" s="26" t="str">
        <f t="shared" si="15"/>
        <v/>
      </c>
      <c r="K27" s="26" t="str">
        <f t="shared" si="15"/>
        <v/>
      </c>
      <c r="L27" s="63"/>
    </row>
    <row r="28" spans="1:12" s="18" customFormat="1" x14ac:dyDescent="0.25">
      <c r="A28" s="54" t="s">
        <v>79</v>
      </c>
      <c r="B28" s="34">
        <f>VLOOKUP($A28,现金流量表!$A$2:$K$44,B$3+1,)</f>
        <v>2524315000</v>
      </c>
      <c r="C28" s="34">
        <f>VLOOKUP($A28,现金流量表!$A$2:$K$44,C$3+1,)</f>
        <v>62169886000</v>
      </c>
      <c r="D28" s="34">
        <f>VLOOKUP($A28,现金流量表!$A$2:$K$44,D$3+1,)</f>
        <v>32422027000</v>
      </c>
      <c r="E28" s="34">
        <f>VLOOKUP($A28,现金流量表!$A$2:$K$44,E$3+1,)</f>
        <v>24515274000</v>
      </c>
      <c r="F28" s="34">
        <f>VLOOKUP($A28,现金流量表!$A$2:$K$44,F$3+1,)</f>
        <v>37288846000</v>
      </c>
      <c r="G28" s="34">
        <f>VLOOKUP($A28,现金流量表!$A$2:$K$44,G$3+1,)</f>
        <v>31640205800</v>
      </c>
      <c r="H28" s="34">
        <f>VLOOKUP($A28,现金流量表!$A$2:$K$44,H$3+1,)</f>
        <v>23058709400</v>
      </c>
      <c r="I28" s="34">
        <f>VLOOKUP($A28,现金流量表!$A$2:$K$44,I$3+1,)</f>
        <v>25572010099.999996</v>
      </c>
      <c r="J28" s="34">
        <f>VLOOKUP($A28,现金流量表!$A$2:$K$44,J$3+1,)</f>
        <v>12617654000</v>
      </c>
      <c r="K28" s="34">
        <f>VLOOKUP($A28,现金流量表!$A$2:$K$44,K$3+1,)</f>
        <v>10026360900</v>
      </c>
      <c r="L28" s="54" t="s">
        <v>339</v>
      </c>
    </row>
    <row r="29" spans="1:12" s="28" customFormat="1" x14ac:dyDescent="0.25">
      <c r="A29" s="36" t="s">
        <v>44</v>
      </c>
      <c r="B29" s="36" t="s">
        <v>32</v>
      </c>
      <c r="C29" s="66">
        <v>7</v>
      </c>
      <c r="D29" s="36" t="s">
        <v>124</v>
      </c>
      <c r="E29" s="43"/>
      <c r="F29" s="27"/>
      <c r="G29" s="40"/>
      <c r="H29" s="40"/>
      <c r="I29" s="40"/>
      <c r="J29" s="40"/>
      <c r="K29" s="40"/>
      <c r="L29" s="71"/>
    </row>
    <row r="30" spans="1:12" s="28" customFormat="1" x14ac:dyDescent="0.25">
      <c r="A30" s="55" t="s">
        <v>31</v>
      </c>
      <c r="B30" s="26" t="str">
        <f>IF(B3&gt;$K$1,"",IF(AND(ISNUMBER(B28),ISNUMBER(B22),B28&gt;B7/365*$C$29),"异常",IF(OR(B28="",B16="",B10=""),"","正常")))</f>
        <v>正常</v>
      </c>
      <c r="C30" s="26" t="str">
        <f t="shared" ref="C30:K30" si="16">IF(C3&gt;$K$1,"",IF(AND(ISNUMBER(C28),ISNUMBER(C22),C28&gt;C7/365*$C$29),"异常",IF(OR(C28="",C16="",C10=""),"","正常")))</f>
        <v>异常</v>
      </c>
      <c r="D30" s="26" t="str">
        <f t="shared" si="16"/>
        <v>异常</v>
      </c>
      <c r="E30" s="26" t="str">
        <f t="shared" si="16"/>
        <v>异常</v>
      </c>
      <c r="F30" s="26" t="str">
        <f t="shared" si="16"/>
        <v>异常</v>
      </c>
      <c r="G30" s="26" t="str">
        <f t="shared" si="16"/>
        <v>异常</v>
      </c>
      <c r="H30" s="26" t="str">
        <f t="shared" si="16"/>
        <v/>
      </c>
      <c r="I30" s="26" t="str">
        <f t="shared" si="16"/>
        <v/>
      </c>
      <c r="J30" s="26" t="str">
        <f t="shared" si="16"/>
        <v/>
      </c>
      <c r="K30" s="26" t="str">
        <f t="shared" si="16"/>
        <v/>
      </c>
      <c r="L30" s="36"/>
    </row>
    <row r="31" spans="1:12" s="18" customFormat="1" x14ac:dyDescent="0.25">
      <c r="A31" s="36" t="s">
        <v>80</v>
      </c>
      <c r="B31" s="34">
        <f>VLOOKUP($A31,现金流量表!$A$2:$K$44,B$3+1,)</f>
        <v>-18642288000</v>
      </c>
      <c r="C31" s="34">
        <f>VLOOKUP($A31,现金流量表!$A$2:$K$44,C$3+1,)</f>
        <v>-34739608000</v>
      </c>
      <c r="D31" s="34">
        <f>VLOOKUP($A31,现金流量表!$A$2:$K$44,D$3+1,)</f>
        <v>-19781084000</v>
      </c>
      <c r="E31" s="34">
        <f>VLOOKUP($A31,现金流量表!$A$2:$K$44,E$3+1,)</f>
        <v>-17989193000</v>
      </c>
      <c r="F31" s="34">
        <f>VLOOKUP($A31,现金流量表!$A$2:$K$44,F$3+1,)</f>
        <v>-28862397000</v>
      </c>
      <c r="G31" s="34">
        <f>VLOOKUP($A31,现金流量表!$A$2:$K$44,G$3+1,)</f>
        <v>-466681940</v>
      </c>
      <c r="H31" s="34">
        <f>VLOOKUP($A31,现金流量表!$A$2:$K$44,H$3+1,)</f>
        <v>-3997044000</v>
      </c>
      <c r="I31" s="34">
        <f>VLOOKUP($A31,现金流量表!$A$2:$K$44,I$3+1,)</f>
        <v>-8930006940</v>
      </c>
      <c r="J31" s="34">
        <f>VLOOKUP($A31,现金流量表!$A$2:$K$44,J$3+1,)</f>
        <v>-6747175380</v>
      </c>
      <c r="K31" s="34">
        <f>VLOOKUP($A31,现金流量表!$A$2:$K$44,K$3+1,)</f>
        <v>-3146729412.6500001</v>
      </c>
      <c r="L31" s="54" t="s">
        <v>340</v>
      </c>
    </row>
    <row r="32" spans="1:12" s="18" customFormat="1" x14ac:dyDescent="0.25">
      <c r="A32" s="36" t="s">
        <v>81</v>
      </c>
      <c r="B32" s="34">
        <f>VLOOKUP($A32,现金流量表!$A$2:$K$44,B$3+1,)</f>
        <v>-13387164000</v>
      </c>
      <c r="C32" s="34">
        <f>VLOOKUP($A32,现金流量表!$A$2:$K$44,C$3+1,)</f>
        <v>19651645000</v>
      </c>
      <c r="D32" s="34">
        <f>VLOOKUP($A32,现金流量表!$A$2:$K$44,D$3+1,)</f>
        <v>159912000</v>
      </c>
      <c r="E32" s="34">
        <f>VLOOKUP($A32,现金流量表!$A$2:$K$44,E$3+1,)</f>
        <v>-8876653000</v>
      </c>
      <c r="F32" s="34">
        <f>VLOOKUP($A32,现金流量表!$A$2:$K$44,F$3+1,)</f>
        <v>-7410130000</v>
      </c>
      <c r="G32" s="34">
        <f>VLOOKUP($A32,现金流量表!$A$2:$K$44,G$3+1,)</f>
        <v>-5364128820</v>
      </c>
      <c r="H32" s="34">
        <f>VLOOKUP($A32,现金流量表!$A$2:$K$44,H$3+1,)</f>
        <v>-4900217210</v>
      </c>
      <c r="I32" s="34">
        <f>VLOOKUP($A32,现金流量表!$A$2:$K$44,I$3+1,)</f>
        <v>10259467960</v>
      </c>
      <c r="J32" s="34">
        <f>VLOOKUP($A32,现金流量表!$A$2:$K$44,J$3+1,)</f>
        <v>4157046610</v>
      </c>
      <c r="K32" s="34">
        <f>VLOOKUP($A32,现金流量表!$A$2:$K$44,K$3+1,)</f>
        <v>1187573845.73</v>
      </c>
      <c r="L32" s="71"/>
    </row>
    <row r="33" spans="1:12" s="28" customFormat="1" x14ac:dyDescent="0.25">
      <c r="A33" s="55" t="s">
        <v>31</v>
      </c>
      <c r="B33" s="26" t="str">
        <f>IF(B3&gt;$K$1,"",IF(B31="","",IF(B31&lt;0,IF(B31+B32&lt;0,"正常","异常"),IF(B32&gt;0,"异常","正常"))))</f>
        <v>正常</v>
      </c>
      <c r="C33" s="26" t="str">
        <f t="shared" ref="C33:K33" si="17">IF(C3&gt;$K$1,"",IF(C31="","",IF(C31&lt;0,IF(C31+C32&lt;0,"正常","异常"),IF(C32&gt;0,"异常","正常"))))</f>
        <v>正常</v>
      </c>
      <c r="D33" s="26" t="str">
        <f t="shared" si="17"/>
        <v>正常</v>
      </c>
      <c r="E33" s="26" t="str">
        <f t="shared" si="17"/>
        <v>正常</v>
      </c>
      <c r="F33" s="26" t="str">
        <f t="shared" si="17"/>
        <v>正常</v>
      </c>
      <c r="G33" s="26" t="str">
        <f t="shared" si="17"/>
        <v>正常</v>
      </c>
      <c r="H33" s="26" t="str">
        <f t="shared" si="17"/>
        <v/>
      </c>
      <c r="I33" s="26" t="str">
        <f t="shared" si="17"/>
        <v/>
      </c>
      <c r="J33" s="26" t="str">
        <f t="shared" si="17"/>
        <v/>
      </c>
      <c r="K33" s="26" t="str">
        <f t="shared" si="17"/>
        <v/>
      </c>
      <c r="L33" s="63"/>
    </row>
    <row r="34" spans="1:12" x14ac:dyDescent="0.25">
      <c r="A34" s="54" t="s">
        <v>1</v>
      </c>
      <c r="B34" s="34">
        <f>VLOOKUP($A34,资产负债表!$A$2:$K$99,B$3+1,)</f>
        <v>31946468000</v>
      </c>
      <c r="C34" s="34">
        <f>VLOOKUP($A34,资产负债表!$A$2:$K$99,C$3+1,)</f>
        <v>28382943000</v>
      </c>
      <c r="D34" s="34">
        <f>VLOOKUP($A34,资产负债表!$A$2:$K$99,D$3+1,)</f>
        <v>20881999000</v>
      </c>
      <c r="E34" s="34">
        <f>VLOOKUP($A34,资产负债表!$A$2:$K$99,E$3+1,)</f>
        <v>23260869000</v>
      </c>
      <c r="F34" s="34">
        <f>VLOOKUP($A34,资产负债表!$A$2:$K$99,F$3+1,)</f>
        <v>26459336000</v>
      </c>
      <c r="G34" s="34">
        <f>VLOOKUP($A34,资产负债表!$A$2:$K$99,G$3+1,)</f>
        <v>22078970500</v>
      </c>
      <c r="H34" s="34">
        <f>VLOOKUP($A34,资产负债表!$A$2:$K$99,H$3+1,)</f>
        <v>22250998400</v>
      </c>
      <c r="I34" s="34">
        <f>VLOOKUP($A34,资产负债表!$A$2:$K$99,I$3+1,)</f>
        <v>20169108700</v>
      </c>
      <c r="J34" s="34">
        <f>VLOOKUP($A34,资产负债表!$A$2:$K$99,J$3+1,)</f>
        <v>12465091500</v>
      </c>
      <c r="K34" s="34">
        <f>VLOOKUP($A34,资产负债表!$A$2:$K$99,K$3+1,)</f>
        <v>14548970700</v>
      </c>
      <c r="L34" s="74"/>
    </row>
    <row r="35" spans="1:12" x14ac:dyDescent="0.25">
      <c r="A35" s="36" t="s">
        <v>2</v>
      </c>
      <c r="B35" s="34">
        <f>VLOOKUP($A35,资产负债表!$A$2:$K$99,B$3+1,)</f>
        <v>12556294000</v>
      </c>
      <c r="C35" s="34" t="str">
        <f>VLOOKUP($A35,资产负债表!$A$2:$K$99,C$3+1,)</f>
        <v>--</v>
      </c>
      <c r="D35" s="34">
        <f>VLOOKUP($A35,资产负债表!$A$2:$K$99,D$3+1,)</f>
        <v>7427488000</v>
      </c>
      <c r="E35" s="34">
        <f>VLOOKUP($A35,资产负债表!$A$2:$K$99,E$3+1,)</f>
        <v>12889151000</v>
      </c>
      <c r="F35" s="34">
        <f>VLOOKUP($A35,资产负债表!$A$2:$K$99,F$3+1,)</f>
        <v>17097233000</v>
      </c>
      <c r="G35" s="34">
        <f>VLOOKUP($A35,资产负债表!$A$2:$K$99,G$3+1,)</f>
        <v>14150532200</v>
      </c>
      <c r="H35" s="34">
        <f>VLOOKUP($A35,资产负债表!$A$2:$K$99,H$3+1,)</f>
        <v>12386424800</v>
      </c>
      <c r="I35" s="34">
        <f>VLOOKUP($A35,资产负债表!$A$2:$K$99,I$3+1,)</f>
        <v>10265945900</v>
      </c>
      <c r="J35" s="34">
        <f>VLOOKUP($A35,资产负债表!$A$2:$K$99,J$3+1,)</f>
        <v>5553988199.999999</v>
      </c>
      <c r="K35" s="34">
        <f>VLOOKUP($A35,资产负债表!$A$2:$K$99,K$3+1,)</f>
        <v>7621393700</v>
      </c>
    </row>
    <row r="36" spans="1:12" x14ac:dyDescent="0.25">
      <c r="A36" s="36" t="s">
        <v>182</v>
      </c>
      <c r="B36" s="34">
        <f>VLOOKUP($A36,资产负债表!$A$2:$K$99,B$3+1,)</f>
        <v>19390174000</v>
      </c>
      <c r="C36" s="34" t="str">
        <f>VLOOKUP($A36,资产负债表!$A$2:$K$99,C$3+1,)</f>
        <v>--</v>
      </c>
      <c r="D36" s="34">
        <f>VLOOKUP($A36,资产负债表!$A$2:$K$99,D$3+1,)</f>
        <v>13454511000</v>
      </c>
      <c r="E36" s="34">
        <f>VLOOKUP($A36,资产负债表!$A$2:$K$99,E$3+1,)</f>
        <v>10371718000</v>
      </c>
      <c r="F36" s="34">
        <f>VLOOKUP($A36,资产负债表!$A$2:$K$99,F$3+1,)</f>
        <v>9362103000</v>
      </c>
      <c r="G36" s="34">
        <f>VLOOKUP($A36,资产负债表!$A$2:$K$99,G$3+1,)</f>
        <v>7928438300</v>
      </c>
      <c r="H36" s="34">
        <f>VLOOKUP($A36,资产负债表!$A$2:$K$99,H$3+1,)</f>
        <v>9864573600</v>
      </c>
      <c r="I36" s="34">
        <f>VLOOKUP($A36,资产负债表!$A$2:$K$99,I$3+1,)</f>
        <v>9903162800</v>
      </c>
      <c r="J36" s="34">
        <f>VLOOKUP($A36,资产负债表!$A$2:$K$99,J$3+1,)</f>
        <v>6911103300</v>
      </c>
      <c r="K36" s="34">
        <f>VLOOKUP($A36,资产负债表!$A$2:$K$99,K$3+1,)</f>
        <v>6927577000</v>
      </c>
    </row>
    <row r="37" spans="1:12" x14ac:dyDescent="0.25">
      <c r="A37" s="36" t="s">
        <v>82</v>
      </c>
      <c r="B37" s="7">
        <f>IF(ISERROR(B35/B$6),"",B35/B$6)</f>
        <v>4.7957801178662558E-2</v>
      </c>
      <c r="C37" s="7" t="str">
        <f t="shared" ref="C37:K37" si="18">IF(ISERROR(C35/C$6),"",C35/C$6)</f>
        <v/>
      </c>
      <c r="D37" s="7">
        <f t="shared" si="18"/>
        <v>4.6467773763243424E-2</v>
      </c>
      <c r="E37" s="7">
        <f t="shared" si="18"/>
        <v>9.2496713459260194E-2</v>
      </c>
      <c r="F37" s="7">
        <f t="shared" si="18"/>
        <v>0.12013995379569026</v>
      </c>
      <c r="G37" s="7">
        <f t="shared" si="18"/>
        <v>0.1166908109786023</v>
      </c>
      <c r="H37" s="7">
        <f t="shared" si="18"/>
        <v>0.1205925450354508</v>
      </c>
      <c r="I37" s="7">
        <f t="shared" si="18"/>
        <v>7.6545185486686138E-2</v>
      </c>
      <c r="J37" s="7">
        <f t="shared" si="18"/>
        <v>5.0370337835385311E-2</v>
      </c>
      <c r="K37" s="7">
        <f t="shared" si="18"/>
        <v>0.11038568996506105</v>
      </c>
    </row>
    <row r="38" spans="1:12" s="28" customFormat="1" x14ac:dyDescent="0.25">
      <c r="A38" s="42" t="s">
        <v>31</v>
      </c>
      <c r="B38" s="26" t="str">
        <f>IF(B3&gt;$K$1,"",IF(COUNTIF($B36:$K36,B36)=1,"正常",IF(B36="","",IF(B36="--","正常","警惕风险"))))</f>
        <v>正常</v>
      </c>
      <c r="C38" s="26" t="str">
        <f t="shared" ref="C38:K38" si="19">IF(COUNTIF($B36:$K36,C36)=1,"正常",IF(C36="","",IF(C36="--","正常","警惕风险")))</f>
        <v>正常</v>
      </c>
      <c r="D38" s="26" t="str">
        <f t="shared" si="19"/>
        <v>正常</v>
      </c>
      <c r="E38" s="26" t="str">
        <f t="shared" si="19"/>
        <v>正常</v>
      </c>
      <c r="F38" s="26" t="str">
        <f t="shared" si="19"/>
        <v>正常</v>
      </c>
      <c r="G38" s="26" t="str">
        <f t="shared" si="19"/>
        <v>正常</v>
      </c>
      <c r="H38" s="26" t="str">
        <f t="shared" si="19"/>
        <v>正常</v>
      </c>
      <c r="I38" s="26" t="str">
        <f t="shared" si="19"/>
        <v>正常</v>
      </c>
      <c r="J38" s="26" t="str">
        <f t="shared" si="19"/>
        <v>正常</v>
      </c>
      <c r="K38" s="26" t="str">
        <f t="shared" si="19"/>
        <v>正常</v>
      </c>
      <c r="L38" s="42" t="s">
        <v>127</v>
      </c>
    </row>
    <row r="39" spans="1:12" s="28" customFormat="1" x14ac:dyDescent="0.25">
      <c r="A39" s="36" t="s">
        <v>49</v>
      </c>
      <c r="B39" s="43">
        <f>IF(ISERROR(B34/B$6),"",B34/B$6)</f>
        <v>0.12201708248504739</v>
      </c>
      <c r="C39" s="43">
        <f t="shared" ref="C39:K39" si="20">IF(ISERROR(C34/C$6),"",C34/C$6)</f>
        <v>0.11732420852317382</v>
      </c>
      <c r="D39" s="43">
        <f t="shared" si="20"/>
        <v>0.13064174661154287</v>
      </c>
      <c r="E39" s="43">
        <f t="shared" si="20"/>
        <v>0.16692751405475725</v>
      </c>
      <c r="F39" s="43">
        <f t="shared" si="20"/>
        <v>0.18592619077628783</v>
      </c>
      <c r="G39" s="43">
        <f t="shared" si="20"/>
        <v>0.18207180739234927</v>
      </c>
      <c r="H39" s="43">
        <f t="shared" si="20"/>
        <v>0.21663269022032441</v>
      </c>
      <c r="I39" s="43">
        <f t="shared" si="20"/>
        <v>0.15038537915367692</v>
      </c>
      <c r="J39" s="43">
        <f t="shared" si="20"/>
        <v>0.11304865033814619</v>
      </c>
      <c r="K39" s="43">
        <f t="shared" si="20"/>
        <v>0.21072237338965408</v>
      </c>
      <c r="L39" s="71"/>
    </row>
    <row r="40" spans="1:12" s="28" customFormat="1" x14ac:dyDescent="0.25">
      <c r="A40" s="27" t="s">
        <v>44</v>
      </c>
      <c r="B40" s="36" t="s">
        <v>32</v>
      </c>
      <c r="C40" s="37">
        <v>1.25</v>
      </c>
      <c r="D40" s="38" t="s">
        <v>45</v>
      </c>
      <c r="E40" s="38" t="s">
        <v>46</v>
      </c>
      <c r="F40" s="67">
        <v>0.3</v>
      </c>
      <c r="G40" s="27" t="s">
        <v>47</v>
      </c>
      <c r="I40" s="40"/>
      <c r="J40" s="40"/>
      <c r="K40" s="40"/>
      <c r="L40" s="41"/>
    </row>
    <row r="41" spans="1:12" s="28" customFormat="1" x14ac:dyDescent="0.25">
      <c r="A41" s="42" t="s">
        <v>31</v>
      </c>
      <c r="B41" s="26" t="str">
        <f t="shared" ref="B41:K41" si="21">IF(B3&gt;$K$1,"",IF(B39="","",IF(B34="--","正常",IF(OR(B39&gt;$F40,B39&gt;AVERAGE($B39:$K39)*$C40),"过高","正常"))))</f>
        <v>正常</v>
      </c>
      <c r="C41" s="26" t="str">
        <f t="shared" si="21"/>
        <v>正常</v>
      </c>
      <c r="D41" s="26" t="str">
        <f t="shared" si="21"/>
        <v>正常</v>
      </c>
      <c r="E41" s="26" t="str">
        <f t="shared" si="21"/>
        <v>正常</v>
      </c>
      <c r="F41" s="26" t="str">
        <f t="shared" si="21"/>
        <v>正常</v>
      </c>
      <c r="G41" s="26" t="str">
        <f t="shared" si="21"/>
        <v>正常</v>
      </c>
      <c r="H41" s="26" t="str">
        <f t="shared" si="21"/>
        <v/>
      </c>
      <c r="I41" s="26" t="str">
        <f t="shared" si="21"/>
        <v/>
      </c>
      <c r="J41" s="26" t="str">
        <f t="shared" si="21"/>
        <v/>
      </c>
      <c r="K41" s="26" t="str">
        <f t="shared" si="21"/>
        <v/>
      </c>
      <c r="L41" s="42" t="s">
        <v>50</v>
      </c>
    </row>
    <row r="42" spans="1:12" x14ac:dyDescent="0.25">
      <c r="A42" s="27" t="s">
        <v>33</v>
      </c>
      <c r="B42" s="34">
        <f>VLOOKUP($A42,资产负债表!$A$2:$K$99,B$3+1,)</f>
        <v>29645018000</v>
      </c>
      <c r="C42" s="34">
        <f>VLOOKUP($A42,资产负债表!$A$2:$K$99,C$3+1,)</f>
        <v>29444166000</v>
      </c>
      <c r="D42" s="34">
        <f>VLOOKUP($A42,资产负债表!$A$2:$K$99,D$3+1,)</f>
        <v>15626897000</v>
      </c>
      <c r="E42" s="34">
        <f>VLOOKUP($A42,资产负债表!$A$2:$K$99,E$3+1,)</f>
        <v>10448937000</v>
      </c>
      <c r="F42" s="34">
        <f>VLOOKUP($A42,资产负债表!$A$2:$K$99,F$3+1,)</f>
        <v>15020030000</v>
      </c>
      <c r="G42" s="34">
        <f>VLOOKUP($A42,资产负债表!$A$2:$K$99,G$3+1,)</f>
        <v>15197723799.999998</v>
      </c>
      <c r="H42" s="34">
        <f>VLOOKUP($A42,资产负债表!$A$2:$K$99,H$3+1,)</f>
        <v>13350000900</v>
      </c>
      <c r="I42" s="34">
        <f>VLOOKUP($A42,资产负债表!$A$2:$K$99,I$3+1,)</f>
        <v>16343296100.000002</v>
      </c>
      <c r="J42" s="34">
        <f>VLOOKUP($A42,资产负债表!$A$2:$K$99,J$3+1,)</f>
        <v>19749981200</v>
      </c>
      <c r="K42" s="34">
        <f>VLOOKUP($A42,资产负债表!$A$2:$K$99,K$3+1,)</f>
        <v>10536815600</v>
      </c>
      <c r="L42" s="27" t="s">
        <v>341</v>
      </c>
    </row>
    <row r="43" spans="1:12" x14ac:dyDescent="0.25">
      <c r="A43" s="27" t="s">
        <v>83</v>
      </c>
      <c r="B43" s="7">
        <f>IF(ISERROR(B42/B$6),"",B42/B$6)</f>
        <v>0.11322687085710741</v>
      </c>
      <c r="C43" s="7">
        <f t="shared" ref="C43:K43" si="22">IF(ISERROR(C42/C$6),"",C42/C$6)</f>
        <v>0.12171089768862041</v>
      </c>
      <c r="D43" s="7">
        <f t="shared" si="22"/>
        <v>9.776483171935213E-2</v>
      </c>
      <c r="E43" s="7">
        <f t="shared" si="22"/>
        <v>7.4984949097334802E-2</v>
      </c>
      <c r="F43" s="7">
        <f t="shared" si="22"/>
        <v>0.10554372805294759</v>
      </c>
      <c r="G43" s="7">
        <f t="shared" si="22"/>
        <v>0.12532636159442859</v>
      </c>
      <c r="H43" s="7">
        <f t="shared" si="22"/>
        <v>0.129973790722611</v>
      </c>
      <c r="I43" s="7">
        <f t="shared" si="22"/>
        <v>0.12185926592875716</v>
      </c>
      <c r="J43" s="7">
        <f t="shared" si="22"/>
        <v>0.17911691373174124</v>
      </c>
      <c r="K43" s="7">
        <f t="shared" si="22"/>
        <v>0.1526116752163871</v>
      </c>
    </row>
    <row r="44" spans="1:12" s="28" customFormat="1" x14ac:dyDescent="0.25">
      <c r="A44" s="27" t="s">
        <v>44</v>
      </c>
      <c r="B44" s="36" t="s">
        <v>32</v>
      </c>
      <c r="C44" s="37">
        <v>1.25</v>
      </c>
      <c r="D44" s="38" t="s">
        <v>45</v>
      </c>
      <c r="E44" s="27" t="s">
        <v>46</v>
      </c>
      <c r="F44" s="39">
        <v>0.5</v>
      </c>
      <c r="G44" s="27" t="s">
        <v>47</v>
      </c>
      <c r="H44" s="40"/>
      <c r="I44" s="27"/>
      <c r="J44" s="39"/>
      <c r="K44" s="40"/>
      <c r="L44" s="41"/>
    </row>
    <row r="45" spans="1:12" s="28" customFormat="1" x14ac:dyDescent="0.25">
      <c r="A45" s="42" t="s">
        <v>31</v>
      </c>
      <c r="B45" s="26" t="str">
        <f>IF(B3&gt;$K$1,"",IF(B43="","",IF(OR(B43&gt;$F44,B43&gt;AVERAGE($B43:$K43)*$C44),"过高","正常")))</f>
        <v>正常</v>
      </c>
      <c r="C45" s="26" t="str">
        <f t="shared" ref="C45:K45" si="23">IF(C3&gt;$K$1,"",IF(C43="","",IF(OR(C43&gt;$F44,C43&gt;AVERAGE($B43:$K43)*$C44),"过高","正常")))</f>
        <v>正常</v>
      </c>
      <c r="D45" s="26" t="str">
        <f t="shared" si="23"/>
        <v>正常</v>
      </c>
      <c r="E45" s="26" t="str">
        <f t="shared" si="23"/>
        <v>正常</v>
      </c>
      <c r="F45" s="26" t="str">
        <f t="shared" si="23"/>
        <v>正常</v>
      </c>
      <c r="G45" s="26" t="str">
        <f t="shared" si="23"/>
        <v>正常</v>
      </c>
      <c r="H45" s="26" t="str">
        <f t="shared" si="23"/>
        <v/>
      </c>
      <c r="I45" s="26" t="str">
        <f t="shared" si="23"/>
        <v/>
      </c>
      <c r="J45" s="26" t="str">
        <f t="shared" si="23"/>
        <v/>
      </c>
      <c r="K45" s="26" t="str">
        <f t="shared" si="23"/>
        <v/>
      </c>
      <c r="L45" s="42" t="s">
        <v>48</v>
      </c>
    </row>
    <row r="46" spans="1:12" x14ac:dyDescent="0.25">
      <c r="A46" s="27" t="s">
        <v>84</v>
      </c>
      <c r="B46" s="34">
        <f>VLOOKUP($A46,资产负债表!$A$2:$K$99,B$3+1,)</f>
        <v>2215888000</v>
      </c>
      <c r="C46" s="34">
        <f>VLOOKUP($A46,资产负债表!$A$2:$K$99,C$3+1,)</f>
        <v>1672248000</v>
      </c>
      <c r="D46" s="34">
        <f>VLOOKUP($A46,资产负债表!$A$2:$K$99,D$3+1,)</f>
        <v>1587366000</v>
      </c>
      <c r="E46" s="34">
        <f>VLOOKUP($A46,资产负债表!$A$2:$K$99,E$3+1,)</f>
        <v>988625000</v>
      </c>
      <c r="F46" s="34">
        <f>VLOOKUP($A46,资产负债表!$A$2:$K$99,F$3+1,)</f>
        <v>1414470000</v>
      </c>
      <c r="G46" s="34">
        <f>VLOOKUP($A46,资产负债表!$A$2:$K$99,G$3+1,)</f>
        <v>2432420500</v>
      </c>
      <c r="H46" s="34">
        <f>VLOOKUP($A46,资产负债表!$A$2:$K$99,H$3+1,)</f>
        <v>1802482200</v>
      </c>
      <c r="I46" s="34">
        <f>VLOOKUP($A46,资产负债表!$A$2:$K$99,I$3+1,)</f>
        <v>3067945900.0000005</v>
      </c>
      <c r="J46" s="34">
        <f>VLOOKUP($A46,资产负债表!$A$2:$K$99,J$3+1,)</f>
        <v>4705716600</v>
      </c>
      <c r="K46" s="34">
        <f>VLOOKUP($A46,资产负债表!$A$2:$K$99,K$3+1,)</f>
        <v>1869629200.0000002</v>
      </c>
      <c r="L46" s="75" t="s">
        <v>342</v>
      </c>
    </row>
    <row r="47" spans="1:12" x14ac:dyDescent="0.25">
      <c r="A47" s="27" t="s">
        <v>85</v>
      </c>
      <c r="B47" s="7">
        <f>IF(ISERROR(B46/B$9),"",B46/B$9)</f>
        <v>8.403027505970509E-3</v>
      </c>
      <c r="C47" s="7">
        <f t="shared" ref="C47:K47" si="24">IF(ISERROR(C46/C$9),"",C46/C$9)</f>
        <v>6.740031345687349E-3</v>
      </c>
      <c r="D47" s="7">
        <f t="shared" si="24"/>
        <v>9.3045684903388243E-3</v>
      </c>
      <c r="E47" s="7">
        <f t="shared" si="24"/>
        <v>7.6731616922704549E-3</v>
      </c>
      <c r="F47" s="7">
        <f t="shared" si="24"/>
        <v>1.175862890930331E-2</v>
      </c>
      <c r="G47" s="7">
        <f t="shared" si="24"/>
        <v>2.5090461470886425E-2</v>
      </c>
      <c r="H47" s="7">
        <f t="shared" si="24"/>
        <v>2.0544262026692715E-2</v>
      </c>
      <c r="I47" s="7">
        <f t="shared" si="24"/>
        <v>3.3958061705095473E-2</v>
      </c>
      <c r="J47" s="7">
        <f t="shared" si="24"/>
        <v>6.6314725465213303E-2</v>
      </c>
      <c r="K47" s="7">
        <f t="shared" si="24"/>
        <v>3.590894834481656E-2</v>
      </c>
    </row>
    <row r="48" spans="1:12" x14ac:dyDescent="0.25">
      <c r="A48" s="27" t="s">
        <v>44</v>
      </c>
      <c r="B48" s="4" t="s">
        <v>21</v>
      </c>
      <c r="C48" s="11">
        <v>1.25</v>
      </c>
      <c r="D48" s="9" t="s">
        <v>24</v>
      </c>
      <c r="E48" s="19" t="s">
        <v>38</v>
      </c>
      <c r="F48" s="2"/>
      <c r="G48" s="2"/>
      <c r="H48" s="2"/>
      <c r="I48" s="2"/>
      <c r="J48" s="2"/>
      <c r="K48" s="2"/>
      <c r="L48" s="41"/>
    </row>
    <row r="49" spans="1:12" s="28" customFormat="1" x14ac:dyDescent="0.25">
      <c r="A49" s="42" t="s">
        <v>31</v>
      </c>
      <c r="B49" s="26" t="str">
        <f>IF(B3&gt;$K$1,"",IF(B47="","",IF(B47&gt;AVERAGE($B47:$K47)*$C48,"过高","正常")))</f>
        <v>正常</v>
      </c>
      <c r="C49" s="26" t="str">
        <f t="shared" ref="C49:K49" si="25">IF(C3&gt;$K$1,"",IF(C47="","",IF(C47&gt;AVERAGE($B47:$K47)*$C48,"过高","正常")))</f>
        <v>正常</v>
      </c>
      <c r="D49" s="26" t="str">
        <f t="shared" si="25"/>
        <v>正常</v>
      </c>
      <c r="E49" s="26" t="str">
        <f t="shared" si="25"/>
        <v>正常</v>
      </c>
      <c r="F49" s="26" t="str">
        <f t="shared" si="25"/>
        <v>正常</v>
      </c>
      <c r="G49" s="26" t="str">
        <f t="shared" si="25"/>
        <v>正常</v>
      </c>
      <c r="H49" s="26" t="str">
        <f t="shared" si="25"/>
        <v/>
      </c>
      <c r="I49" s="26" t="str">
        <f t="shared" si="25"/>
        <v/>
      </c>
      <c r="J49" s="26" t="str">
        <f t="shared" si="25"/>
        <v/>
      </c>
      <c r="K49" s="26" t="str">
        <f t="shared" si="25"/>
        <v/>
      </c>
      <c r="L49" s="42"/>
    </row>
    <row r="50" spans="1:12" x14ac:dyDescent="0.25">
      <c r="A50" s="36" t="s">
        <v>86</v>
      </c>
      <c r="B50" s="34" t="str">
        <f>VLOOKUP($A50,资产负债表!$A$2:$K$99,B$3+1,)</f>
        <v>--</v>
      </c>
      <c r="C50" s="34" t="str">
        <f>VLOOKUP($A50,资产负债表!$A$2:$K$99,C$3+1,)</f>
        <v>--</v>
      </c>
      <c r="D50" s="34">
        <f>VLOOKUP($A50,资产负债表!$A$2:$K$99,D$3+1,)</f>
        <v>1140133000</v>
      </c>
      <c r="E50" s="34">
        <f>VLOOKUP($A50,资产负债表!$A$2:$K$99,E$3+1,)</f>
        <v>1101339000</v>
      </c>
      <c r="F50" s="34">
        <f>VLOOKUP($A50,资产负债表!$A$2:$K$99,F$3+1,)</f>
        <v>1180768000</v>
      </c>
      <c r="G50" s="34">
        <f>VLOOKUP($A50,资产负债表!$A$2:$K$99,G$3+1,)</f>
        <v>1025395200</v>
      </c>
      <c r="H50" s="34">
        <f>VLOOKUP($A50,资产负债表!$A$2:$K$99,H$3+1,)</f>
        <v>1121345600</v>
      </c>
      <c r="I50" s="34">
        <f>VLOOKUP($A50,资产负债表!$A$2:$K$99,I$3+1,)</f>
        <v>2509095800</v>
      </c>
      <c r="J50" s="34">
        <f>VLOOKUP($A50,资产负债表!$A$2:$K$99,J$3+1,)</f>
        <v>2184248200</v>
      </c>
      <c r="K50" s="34">
        <f>VLOOKUP($A50,资产负债表!$A$2:$K$99,K$3+1,)</f>
        <v>1348559000</v>
      </c>
      <c r="L50" s="27" t="s">
        <v>343</v>
      </c>
    </row>
    <row r="51" spans="1:12" x14ac:dyDescent="0.25">
      <c r="A51" s="27" t="s">
        <v>87</v>
      </c>
      <c r="B51" s="7" t="str">
        <f>IF(ISERROR(B50/B$6),"",B50/B$6)</f>
        <v/>
      </c>
      <c r="C51" s="7" t="str">
        <f t="shared" ref="C51:K51" si="26">IF(ISERROR(C50/C$6),"",C50/C$6)</f>
        <v/>
      </c>
      <c r="D51" s="7">
        <f t="shared" si="26"/>
        <v>7.1328883067879765E-3</v>
      </c>
      <c r="E51" s="7">
        <f t="shared" si="26"/>
        <v>7.9035646261346598E-3</v>
      </c>
      <c r="F51" s="7">
        <f t="shared" si="26"/>
        <v>8.2970977212177884E-3</v>
      </c>
      <c r="G51" s="7">
        <f t="shared" si="26"/>
        <v>8.4558089950543414E-3</v>
      </c>
      <c r="H51" s="7">
        <f t="shared" si="26"/>
        <v>1.0917268053676361E-2</v>
      </c>
      <c r="I51" s="7">
        <f t="shared" si="26"/>
        <v>1.8708378680903155E-2</v>
      </c>
      <c r="J51" s="7">
        <f t="shared" si="26"/>
        <v>1.9809426269636707E-2</v>
      </c>
      <c r="K51" s="7">
        <f t="shared" si="26"/>
        <v>1.9532072680301604E-2</v>
      </c>
      <c r="L51" s="36" t="s">
        <v>344</v>
      </c>
    </row>
    <row r="52" spans="1:12" x14ac:dyDescent="0.25">
      <c r="A52" s="27" t="s">
        <v>44</v>
      </c>
      <c r="B52" s="4" t="s">
        <v>21</v>
      </c>
      <c r="C52" s="11">
        <v>1.25</v>
      </c>
      <c r="D52" s="9" t="s">
        <v>24</v>
      </c>
      <c r="E52" s="9" t="s">
        <v>355</v>
      </c>
      <c r="F52" s="22">
        <v>0.1</v>
      </c>
      <c r="G52" s="19" t="s">
        <v>38</v>
      </c>
      <c r="H52" s="2"/>
      <c r="I52" s="2"/>
      <c r="J52" s="2"/>
      <c r="K52" s="2"/>
    </row>
    <row r="53" spans="1:12" s="28" customFormat="1" x14ac:dyDescent="0.25">
      <c r="A53" s="42" t="s">
        <v>31</v>
      </c>
      <c r="B53" s="26" t="str">
        <f>IF(B3&gt;$K$1,"",IF(B50="--","正常",IF(B51="","",IF(AND(B51&gt;AVERAGE($B51:$K51)*$C52,B51&gt;$F52),"过高","正常"))))</f>
        <v>正常</v>
      </c>
      <c r="C53" s="26" t="str">
        <f t="shared" ref="C53:K53" si="27">IF(C3&gt;$K$1,"",IF(C50="--","正常",IF(C51="","",IF(AND(C51&gt;AVERAGE($B51:$K51)*$C52,C51&gt;$F52),"过高","正常"))))</f>
        <v>正常</v>
      </c>
      <c r="D53" s="26" t="str">
        <f t="shared" si="27"/>
        <v>正常</v>
      </c>
      <c r="E53" s="26" t="str">
        <f t="shared" si="27"/>
        <v>正常</v>
      </c>
      <c r="F53" s="26" t="str">
        <f t="shared" si="27"/>
        <v>正常</v>
      </c>
      <c r="G53" s="26" t="str">
        <f t="shared" si="27"/>
        <v>正常</v>
      </c>
      <c r="H53" s="26" t="str">
        <f t="shared" si="27"/>
        <v/>
      </c>
      <c r="I53" s="26" t="str">
        <f t="shared" si="27"/>
        <v/>
      </c>
      <c r="J53" s="26" t="str">
        <f t="shared" si="27"/>
        <v/>
      </c>
      <c r="K53" s="26" t="str">
        <f t="shared" si="27"/>
        <v/>
      </c>
      <c r="L53" s="42"/>
    </row>
    <row r="54" spans="1:12" x14ac:dyDescent="0.25">
      <c r="A54" s="27" t="s">
        <v>88</v>
      </c>
      <c r="B54" s="34">
        <f>VLOOKUP($A54,资产负债表!$A$2:$K$99,B$3+1,)</f>
        <v>29100390000</v>
      </c>
      <c r="C54" s="34">
        <f>VLOOKUP($A54,资产负债表!$A$2:$K$99,C$3+1,)</f>
        <v>28903785000</v>
      </c>
      <c r="D54" s="34">
        <f>VLOOKUP($A54,资产负债表!$A$2:$K$99,D$3+1,)</f>
        <v>5730995000</v>
      </c>
      <c r="E54" s="34">
        <f>VLOOKUP($A54,资产负债表!$A$2:$K$99,E$3+1,)</f>
        <v>2393066000</v>
      </c>
      <c r="F54" s="34">
        <f>VLOOKUP($A54,资产负债表!$A$2:$K$99,F$3+1,)</f>
        <v>2931791000</v>
      </c>
      <c r="G54" s="34">
        <f>VLOOKUP($A54,资产负债表!$A$2:$K$99,G$3+1,)</f>
        <v>2931003600</v>
      </c>
      <c r="H54" s="34">
        <f>VLOOKUP($A54,资产负债表!$A$2:$K$99,H$3+1,)</f>
        <v>3473028600</v>
      </c>
      <c r="I54" s="34">
        <f>VLOOKUP($A54,资产负债表!$A$2:$K$99,I$3+1,)</f>
        <v>3295892500</v>
      </c>
      <c r="J54" s="34">
        <f>VLOOKUP($A54,资产负债表!$A$2:$K$99,J$3+1,)</f>
        <v>2366732900</v>
      </c>
      <c r="K54" s="34">
        <f>VLOOKUP($A54,资产负债表!$A$2:$K$99,K$3+1,)</f>
        <v>2312018600</v>
      </c>
      <c r="L54" s="27" t="s">
        <v>345</v>
      </c>
    </row>
    <row r="55" spans="1:12" x14ac:dyDescent="0.25">
      <c r="A55" s="56" t="s">
        <v>89</v>
      </c>
      <c r="B55" s="7">
        <f t="shared" ref="B55:E55" si="28">IF(B54="--",0,IF(ISERROR(B54/B$9),"",B54/B$9))</f>
        <v>0.1103536720287619</v>
      </c>
      <c r="C55" s="7">
        <f t="shared" si="28"/>
        <v>0.11649732390710457</v>
      </c>
      <c r="D55" s="7">
        <f t="shared" si="28"/>
        <v>3.3593031156827949E-2</v>
      </c>
      <c r="E55" s="7">
        <f t="shared" si="28"/>
        <v>1.8573657714780516E-2</v>
      </c>
      <c r="F55" s="7">
        <f>IF(F54="--",0,IF(ISERROR(F54/F$9),"",F54/F$9))</f>
        <v>2.4372268346896903E-2</v>
      </c>
      <c r="G55" s="7">
        <f t="shared" ref="G55:K55" si="29">IF(G54="--",0,IF(ISERROR(G54/G$9),"",G54/G$9))</f>
        <v>3.0233355168988837E-2</v>
      </c>
      <c r="H55" s="7">
        <f t="shared" si="29"/>
        <v>3.958475128608635E-2</v>
      </c>
      <c r="I55" s="7">
        <f t="shared" si="29"/>
        <v>3.6481125983467103E-2</v>
      </c>
      <c r="J55" s="7">
        <f t="shared" si="29"/>
        <v>3.3352888806135954E-2</v>
      </c>
      <c r="K55" s="7">
        <f t="shared" si="29"/>
        <v>4.4405680270534438E-2</v>
      </c>
    </row>
    <row r="56" spans="1:12" s="18" customFormat="1" x14ac:dyDescent="0.25">
      <c r="A56" s="27" t="s">
        <v>44</v>
      </c>
      <c r="B56" s="4" t="s">
        <v>21</v>
      </c>
      <c r="C56" s="48">
        <v>0.2</v>
      </c>
      <c r="D56" s="9" t="s">
        <v>36</v>
      </c>
      <c r="E56" s="2"/>
      <c r="F56" s="2"/>
      <c r="G56" s="2"/>
      <c r="H56" s="2"/>
      <c r="I56" s="2"/>
      <c r="J56" s="2"/>
      <c r="K56" s="2"/>
      <c r="L56" s="71"/>
    </row>
    <row r="57" spans="1:12" s="28" customFormat="1" x14ac:dyDescent="0.25">
      <c r="A57" s="42" t="s">
        <v>31</v>
      </c>
      <c r="B57" s="26" t="str">
        <f>IF(B3&gt;$K$1,"",IF(B55="","",IF(B55&gt;$C56,"过高","正常")))</f>
        <v>正常</v>
      </c>
      <c r="C57" s="26" t="str">
        <f t="shared" ref="C57:K57" si="30">IF(C3&gt;$K$1,"",IF(C55="","",IF(C55&gt;$C56,"过高","正常")))</f>
        <v>正常</v>
      </c>
      <c r="D57" s="26" t="str">
        <f t="shared" si="30"/>
        <v>正常</v>
      </c>
      <c r="E57" s="26" t="str">
        <f t="shared" si="30"/>
        <v>正常</v>
      </c>
      <c r="F57" s="26" t="str">
        <f t="shared" si="30"/>
        <v>正常</v>
      </c>
      <c r="G57" s="26" t="str">
        <f t="shared" si="30"/>
        <v>正常</v>
      </c>
      <c r="H57" s="26" t="str">
        <f t="shared" si="30"/>
        <v/>
      </c>
      <c r="I57" s="26" t="str">
        <f t="shared" si="30"/>
        <v/>
      </c>
      <c r="J57" s="26" t="str">
        <f t="shared" si="30"/>
        <v/>
      </c>
      <c r="K57" s="26" t="str">
        <f t="shared" si="30"/>
        <v/>
      </c>
      <c r="L57" s="42"/>
    </row>
    <row r="58" spans="1:12" s="18" customFormat="1" x14ac:dyDescent="0.25">
      <c r="A58" s="36" t="s">
        <v>316</v>
      </c>
      <c r="B58" s="34">
        <f>VLOOKUP($A58,利润表!$A$2:$K$99,B$3+1,)</f>
        <v>25773058000</v>
      </c>
      <c r="C58" s="34">
        <f>VLOOKUP($A58,利润表!$A$2:$K$99,C$3+1,)</f>
        <v>21854774000</v>
      </c>
      <c r="D58" s="34">
        <f>VLOOKUP($A58,利润表!$A$2:$K$99,D$3+1,)</f>
        <v>18914603000</v>
      </c>
      <c r="E58" s="34">
        <f>VLOOKUP($A58,利润表!$A$2:$K$99,E$3+1,)</f>
        <v>16051354000</v>
      </c>
      <c r="F58" s="34">
        <f>VLOOKUP($A58,利润表!$A$2:$K$99,F$3+1,)</f>
        <v>13990684000</v>
      </c>
      <c r="G58" s="34">
        <f>VLOOKUP($A58,利润表!$A$2:$K$99,G$3+1,)</f>
        <v>10011772000</v>
      </c>
      <c r="H58" s="34">
        <f>VLOOKUP($A58,利润表!$A$2:$K$99,H$3+1,)</f>
        <v>7709511000</v>
      </c>
      <c r="I58" s="34">
        <f>VLOOKUP($A58,利润表!$A$2:$K$99,I$3+1,)</f>
        <v>8229433600</v>
      </c>
      <c r="J58" s="34">
        <f>VLOOKUP($A58,利润表!$A$2:$K$99,J$3+1,)</f>
        <v>7930414399.999999</v>
      </c>
      <c r="K58" s="34">
        <f>VLOOKUP($A58,利润表!$A$2:$K$99,K$3+1,)</f>
        <v>3971439900</v>
      </c>
      <c r="L58" s="27" t="s">
        <v>346</v>
      </c>
    </row>
    <row r="59" spans="1:12" s="18" customFormat="1" x14ac:dyDescent="0.25">
      <c r="A59" s="36" t="s">
        <v>317</v>
      </c>
      <c r="B59" s="34">
        <f>VLOOKUP($A59,利润表!$A$2:$K$99,B$3+1,)</f>
        <v>4122639000</v>
      </c>
      <c r="C59" s="34">
        <f>VLOOKUP($A59,利润表!$A$2:$K$99,C$3+1,)</f>
        <v>3243584000</v>
      </c>
      <c r="D59" s="34">
        <f>VLOOKUP($A59,利润表!$A$2:$K$99,D$3+1,)</f>
        <v>3052691000</v>
      </c>
      <c r="E59" s="34">
        <f>VLOOKUP($A59,利润表!$A$2:$K$99,E$3+1,)</f>
        <v>2426699000</v>
      </c>
      <c r="F59" s="34">
        <f>VLOOKUP($A59,利润表!$A$2:$K$99,F$3+1,)</f>
        <v>2344356000</v>
      </c>
      <c r="G59" s="34">
        <f>VLOOKUP($A59,利润表!$A$2:$K$99,G$3+1,)</f>
        <v>1714275570</v>
      </c>
      <c r="H59" s="34">
        <f>VLOOKUP($A59,利润表!$A$2:$K$99,H$3+1,)</f>
        <v>1568621320</v>
      </c>
      <c r="I59" s="34">
        <f>VLOOKUP($A59,利润表!$A$2:$K$99,I$3+1,)</f>
        <v>1577560240</v>
      </c>
      <c r="J59" s="34">
        <f>VLOOKUP($A59,利润表!$A$2:$K$99,J$3+1,)</f>
        <v>1469018600</v>
      </c>
      <c r="K59" s="34">
        <f>VLOOKUP($A59,利润表!$A$2:$K$99,K$3+1,)</f>
        <v>588472072.57000005</v>
      </c>
      <c r="L59" s="27"/>
    </row>
    <row r="60" spans="1:12" s="18" customFormat="1" x14ac:dyDescent="0.25">
      <c r="A60" s="27" t="s">
        <v>90</v>
      </c>
      <c r="B60" s="7">
        <f>IF(ISERROR(B59/B58),"",B59/B58)</f>
        <v>0.15995924891799801</v>
      </c>
      <c r="C60" s="7">
        <f t="shared" ref="C60:K60" si="31">IF(ISERROR(C59/C58),"",C59/C58)</f>
        <v>0.14841535309401965</v>
      </c>
      <c r="D60" s="7">
        <f t="shared" si="31"/>
        <v>0.1613933424878122</v>
      </c>
      <c r="E60" s="7">
        <f t="shared" si="31"/>
        <v>0.151183445334269</v>
      </c>
      <c r="F60" s="7">
        <f t="shared" si="31"/>
        <v>0.16756550287319763</v>
      </c>
      <c r="G60" s="7">
        <f t="shared" si="31"/>
        <v>0.17122598976484882</v>
      </c>
      <c r="H60" s="7">
        <f t="shared" si="31"/>
        <v>0.20346573472688476</v>
      </c>
      <c r="I60" s="7">
        <f t="shared" si="31"/>
        <v>0.1916973046601895</v>
      </c>
      <c r="J60" s="7">
        <f t="shared" si="31"/>
        <v>0.18523856710438741</v>
      </c>
      <c r="K60" s="7">
        <f t="shared" si="31"/>
        <v>0.14817599847601876</v>
      </c>
      <c r="L60" s="36"/>
    </row>
    <row r="61" spans="1:12" s="18" customFormat="1" x14ac:dyDescent="0.25">
      <c r="A61" s="27" t="s">
        <v>44</v>
      </c>
      <c r="B61" s="4" t="s">
        <v>21</v>
      </c>
      <c r="C61" s="20">
        <v>0.1</v>
      </c>
      <c r="D61" s="9" t="s">
        <v>28</v>
      </c>
      <c r="E61" s="9" t="s">
        <v>30</v>
      </c>
      <c r="F61" s="17">
        <v>0.27</v>
      </c>
      <c r="G61" s="19" t="s">
        <v>37</v>
      </c>
      <c r="H61" s="2"/>
      <c r="I61" s="2"/>
      <c r="J61" s="2"/>
      <c r="K61" s="2"/>
      <c r="L61" s="71"/>
    </row>
    <row r="62" spans="1:12" s="28" customFormat="1" x14ac:dyDescent="0.25">
      <c r="A62" s="42" t="s">
        <v>31</v>
      </c>
      <c r="B62" s="26" t="str">
        <f>IF(B3&gt;$K$1,"",IF(B60="","",IF(B60&lt;$C61,"过低",IF(B60&lt;$F61,"正常","过高"))))</f>
        <v>正常</v>
      </c>
      <c r="C62" s="26" t="str">
        <f t="shared" ref="C62:K62" si="32">IF(C3&gt;$K$1,"",IF(C60="","",IF(C60&lt;$C61,"过低",IF(C60&lt;$F61,"正常","过高"))))</f>
        <v>正常</v>
      </c>
      <c r="D62" s="26" t="str">
        <f t="shared" si="32"/>
        <v>正常</v>
      </c>
      <c r="E62" s="26" t="str">
        <f t="shared" si="32"/>
        <v>正常</v>
      </c>
      <c r="F62" s="26" t="str">
        <f t="shared" si="32"/>
        <v>正常</v>
      </c>
      <c r="G62" s="26" t="str">
        <f t="shared" si="32"/>
        <v>正常</v>
      </c>
      <c r="H62" s="26" t="str">
        <f t="shared" si="32"/>
        <v/>
      </c>
      <c r="I62" s="26" t="str">
        <f t="shared" si="32"/>
        <v/>
      </c>
      <c r="J62" s="26" t="str">
        <f t="shared" si="32"/>
        <v/>
      </c>
      <c r="K62" s="26" t="str">
        <f t="shared" si="32"/>
        <v/>
      </c>
      <c r="L62" s="42"/>
    </row>
    <row r="63" spans="1:12" s="28" customFormat="1" x14ac:dyDescent="0.25">
      <c r="A63" s="36" t="s">
        <v>119</v>
      </c>
      <c r="B63" s="60">
        <f>IF(B58="","",B58-B59)</f>
        <v>21650419000</v>
      </c>
      <c r="C63" s="60">
        <f t="shared" ref="C63:K63" si="33">IF(C58="","",C58-C59)</f>
        <v>18611190000</v>
      </c>
      <c r="D63" s="60">
        <f t="shared" si="33"/>
        <v>15861912000</v>
      </c>
      <c r="E63" s="60">
        <f t="shared" si="33"/>
        <v>13624655000</v>
      </c>
      <c r="F63" s="60">
        <f t="shared" si="33"/>
        <v>11646328000</v>
      </c>
      <c r="G63" s="60">
        <f t="shared" si="33"/>
        <v>8297496430</v>
      </c>
      <c r="H63" s="60">
        <f t="shared" si="33"/>
        <v>6140889680</v>
      </c>
      <c r="I63" s="60">
        <f t="shared" si="33"/>
        <v>6651873360</v>
      </c>
      <c r="J63" s="60">
        <f t="shared" si="33"/>
        <v>6461395799.999999</v>
      </c>
      <c r="K63" s="60">
        <f t="shared" si="33"/>
        <v>3382967827.4299998</v>
      </c>
      <c r="L63" s="27" t="s">
        <v>64</v>
      </c>
    </row>
    <row r="64" spans="1:12" s="18" customFormat="1" x14ac:dyDescent="0.25">
      <c r="A64" s="36" t="s">
        <v>122</v>
      </c>
      <c r="B64" s="34">
        <f>VLOOKUP($A64,现金流量表!$A$2:$K$99,B$3+1,)</f>
        <v>27861080000</v>
      </c>
      <c r="C64" s="34">
        <f>VLOOKUP($A64,现金流量表!$A$2:$K$99,C$3+1,)</f>
        <v>24442623000</v>
      </c>
      <c r="D64" s="34">
        <f>VLOOKUP($A64,现金流量表!$A$2:$K$99,D$3+1,)</f>
        <v>26695009000</v>
      </c>
      <c r="E64" s="34">
        <f>VLOOKUP($A64,现金流量表!$A$2:$K$99,E$3+1,)</f>
        <v>26764254000</v>
      </c>
      <c r="F64" s="34">
        <f>VLOOKUP($A64,现金流量表!$A$2:$K$99,F$3+1,)</f>
        <v>24788512000</v>
      </c>
      <c r="G64" s="34">
        <f>VLOOKUP($A64,现金流量表!$A$2:$K$99,G$3+1,)</f>
        <v>10054196400</v>
      </c>
      <c r="H64" s="34">
        <f>VLOOKUP($A64,现金流量表!$A$2:$K$99,H$3+1,)</f>
        <v>8089566700</v>
      </c>
      <c r="I64" s="34">
        <f>VLOOKUP($A64,现金流量表!$A$2:$K$99,I$3+1,)</f>
        <v>4106189500</v>
      </c>
      <c r="J64" s="34">
        <f>VLOOKUP($A64,现金流量表!$A$2:$K$99,J$3+1,)</f>
        <v>4266940400</v>
      </c>
      <c r="K64" s="34">
        <f>VLOOKUP($A64,现金流量表!$A$2:$K$99,K$3+1,)</f>
        <v>3781416800</v>
      </c>
      <c r="L64" s="41"/>
    </row>
    <row r="65" spans="1:12" s="28" customFormat="1" x14ac:dyDescent="0.25">
      <c r="A65" s="36" t="s">
        <v>132</v>
      </c>
      <c r="B65" s="34">
        <f>VLOOKUP($A65,现金流量表!$A$2:$K$99,B$3+1,)</f>
        <v>5705259000</v>
      </c>
      <c r="C65" s="34">
        <f>VLOOKUP($A65,现金流量表!$A$2:$K$99,C$3+1,)</f>
        <v>5476543000</v>
      </c>
      <c r="D65" s="34">
        <f>VLOOKUP($A65,现金流量表!$A$2:$K$99,D$3+1,)</f>
        <v>5124402000</v>
      </c>
      <c r="E65" s="34">
        <f>VLOOKUP($A65,现金流量表!$A$2:$K$99,E$3+1,)</f>
        <v>3900819000</v>
      </c>
      <c r="F65" s="34">
        <f>VLOOKUP($A65,现金流量表!$A$2:$K$99,F$3+1,)</f>
        <v>3661667000</v>
      </c>
      <c r="G65" s="34">
        <f>VLOOKUP($A65,现金流量表!$A$2:$K$99,G$3+1,)</f>
        <v>3794588700</v>
      </c>
      <c r="H65" s="34">
        <f>VLOOKUP($A65,现金流量表!$A$2:$K$99,H$3+1,)</f>
        <v>3900191900</v>
      </c>
      <c r="I65" s="34">
        <f>VLOOKUP($A65,现金流量表!$A$2:$K$99,I$3+1,)</f>
        <v>4318182400</v>
      </c>
      <c r="J65" s="34">
        <f>VLOOKUP($A65,现金流量表!$A$2:$K$99,J$3+1,)</f>
        <v>2539693400</v>
      </c>
      <c r="K65" s="34">
        <f>VLOOKUP($A65,现金流量表!$A$2:$K$99,K$3+1,)</f>
        <v>891339299.99999988</v>
      </c>
      <c r="L65" s="27"/>
    </row>
    <row r="66" spans="1:12" s="28" customFormat="1" x14ac:dyDescent="0.25">
      <c r="A66" s="36" t="s">
        <v>128</v>
      </c>
      <c r="B66" s="34">
        <f>VLOOKUP($A66,现金流量表!$A$2:$K$99,B$3+1,)</f>
        <v>13739262000</v>
      </c>
      <c r="C66" s="34">
        <f>VLOOKUP($A66,现金流量表!$A$2:$K$99,C$3+1,)</f>
        <v>11139448000</v>
      </c>
      <c r="D66" s="34">
        <f>VLOOKUP($A66,现金流量表!$A$2:$K$99,D$3+1,)</f>
        <v>8824342000</v>
      </c>
      <c r="E66" s="34">
        <f>VLOOKUP($A66,现金流量表!$A$2:$K$99,E$3+1,)</f>
        <v>8323884000</v>
      </c>
      <c r="F66" s="34">
        <f>VLOOKUP($A66,现金流量表!$A$2:$K$99,F$3+1,)</f>
        <v>8465413000</v>
      </c>
      <c r="G66" s="34">
        <f>VLOOKUP($A66,现金流量表!$A$2:$K$99,G$3+1,)</f>
        <v>6319042120</v>
      </c>
      <c r="H66" s="34">
        <f>VLOOKUP($A66,现金流量表!$A$2:$K$99,H$3+1,)</f>
        <v>4899687060</v>
      </c>
      <c r="I66" s="34">
        <f>VLOOKUP($A66,现金流量表!$A$2:$K$99,I$3+1,)</f>
        <v>5076146540</v>
      </c>
      <c r="J66" s="34">
        <f>VLOOKUP($A66,现金流量表!$A$2:$K$99,J$3+1,)</f>
        <v>3862982340</v>
      </c>
      <c r="K66" s="34">
        <f>VLOOKUP($A66,现金流量表!$A$2:$K$99,K$3+1,)</f>
        <v>2681394075.9400001</v>
      </c>
      <c r="L66" s="27"/>
    </row>
    <row r="67" spans="1:12" s="28" customFormat="1" x14ac:dyDescent="0.25">
      <c r="A67" s="36" t="s">
        <v>121</v>
      </c>
      <c r="B67" s="61">
        <f>B64-IF(ISNUMBER(B65),B65,0)+B66</f>
        <v>35895083000</v>
      </c>
      <c r="C67" s="61">
        <f t="shared" ref="C67:K67" si="34">C64-IF(ISNUMBER(C65),C65,0)+C66</f>
        <v>30105528000</v>
      </c>
      <c r="D67" s="61">
        <f t="shared" si="34"/>
        <v>30394949000</v>
      </c>
      <c r="E67" s="61">
        <f t="shared" si="34"/>
        <v>31187319000</v>
      </c>
      <c r="F67" s="61">
        <f t="shared" si="34"/>
        <v>29592258000</v>
      </c>
      <c r="G67" s="61">
        <f t="shared" si="34"/>
        <v>12578649820</v>
      </c>
      <c r="H67" s="61">
        <f t="shared" si="34"/>
        <v>9089061860</v>
      </c>
      <c r="I67" s="61">
        <f t="shared" si="34"/>
        <v>4864153640</v>
      </c>
      <c r="J67" s="61">
        <f t="shared" si="34"/>
        <v>5590229340</v>
      </c>
      <c r="K67" s="61">
        <f t="shared" si="34"/>
        <v>5571471575.9400005</v>
      </c>
      <c r="L67" s="27"/>
    </row>
    <row r="68" spans="1:12" s="28" customFormat="1" x14ac:dyDescent="0.25">
      <c r="A68" s="27" t="s">
        <v>120</v>
      </c>
      <c r="B68" s="43">
        <f>IF(ISERROR(B67/B63),"",B67/B63)</f>
        <v>1.6579394144750732</v>
      </c>
      <c r="C68" s="43">
        <f t="shared" ref="C68:K68" si="35">IF(ISERROR(C67/C63),"",C67/C63)</f>
        <v>1.6176036029936829</v>
      </c>
      <c r="D68" s="43">
        <f t="shared" si="35"/>
        <v>1.916222268790799</v>
      </c>
      <c r="E68" s="43">
        <f t="shared" si="35"/>
        <v>2.2890355021833582</v>
      </c>
      <c r="F68" s="43">
        <f t="shared" si="35"/>
        <v>2.5409088598569438</v>
      </c>
      <c r="G68" s="43">
        <f t="shared" si="35"/>
        <v>1.5159572439852198</v>
      </c>
      <c r="H68" s="43">
        <f t="shared" si="35"/>
        <v>1.4800887711110942</v>
      </c>
      <c r="I68" s="43">
        <f t="shared" si="35"/>
        <v>0.73124567723279688</v>
      </c>
      <c r="J68" s="43">
        <f t="shared" si="35"/>
        <v>0.86517364251235018</v>
      </c>
      <c r="K68" s="43">
        <f t="shared" si="35"/>
        <v>1.6469182859987708</v>
      </c>
      <c r="L68" s="36"/>
    </row>
    <row r="69" spans="1:12" s="28" customFormat="1" x14ac:dyDescent="0.25">
      <c r="A69" s="27" t="s">
        <v>44</v>
      </c>
      <c r="B69" s="36" t="s">
        <v>32</v>
      </c>
      <c r="C69" s="52">
        <v>1</v>
      </c>
      <c r="D69" s="27" t="s">
        <v>65</v>
      </c>
      <c r="E69" s="38"/>
      <c r="F69" s="48"/>
      <c r="G69" s="27"/>
      <c r="H69" s="40"/>
      <c r="I69" s="40"/>
      <c r="J69" s="40"/>
      <c r="K69" s="40"/>
      <c r="L69" s="71"/>
    </row>
    <row r="70" spans="1:12" s="28" customFormat="1" x14ac:dyDescent="0.25">
      <c r="A70" s="42" t="s">
        <v>31</v>
      </c>
      <c r="B70" s="26" t="str">
        <f>IF(B3&gt;$K$1,"",IF(B68="","",IF(B68&gt;$C69,"正常","异常")))</f>
        <v>正常</v>
      </c>
      <c r="C70" s="26" t="str">
        <f t="shared" ref="C70:K70" si="36">IF(C3&gt;$K$1,"",IF(C68="","",IF(C68&gt;$C69,"正常","异常")))</f>
        <v>正常</v>
      </c>
      <c r="D70" s="26" t="str">
        <f t="shared" si="36"/>
        <v>正常</v>
      </c>
      <c r="E70" s="26" t="str">
        <f t="shared" si="36"/>
        <v>正常</v>
      </c>
      <c r="F70" s="26" t="str">
        <f t="shared" si="36"/>
        <v>正常</v>
      </c>
      <c r="G70" s="26" t="str">
        <f t="shared" si="36"/>
        <v>正常</v>
      </c>
      <c r="H70" s="26" t="str">
        <f t="shared" si="36"/>
        <v/>
      </c>
      <c r="I70" s="26" t="str">
        <f t="shared" si="36"/>
        <v/>
      </c>
      <c r="J70" s="26" t="str">
        <f t="shared" si="36"/>
        <v/>
      </c>
      <c r="K70" s="26" t="str">
        <f t="shared" si="36"/>
        <v/>
      </c>
      <c r="L70" s="42"/>
    </row>
    <row r="71" spans="1:12" x14ac:dyDescent="0.25">
      <c r="A71" s="27" t="s">
        <v>91</v>
      </c>
      <c r="B71" s="15" t="s">
        <v>25</v>
      </c>
      <c r="C71" s="19" t="s">
        <v>40</v>
      </c>
      <c r="D71" s="1"/>
      <c r="E71" s="1"/>
      <c r="F71" s="1"/>
      <c r="G71" s="1"/>
      <c r="H71" s="1"/>
      <c r="I71" s="1"/>
      <c r="J71" s="1"/>
      <c r="K71" s="1"/>
      <c r="L71" s="27" t="s">
        <v>347</v>
      </c>
    </row>
    <row r="72" spans="1:12" hidden="1" x14ac:dyDescent="0.25">
      <c r="A72" s="27" t="s">
        <v>92</v>
      </c>
      <c r="B72" s="10"/>
      <c r="C72" s="10"/>
      <c r="D72" s="10"/>
      <c r="E72" s="10"/>
      <c r="F72" s="10"/>
      <c r="G72" s="10"/>
      <c r="H72" s="10"/>
      <c r="I72" s="10"/>
      <c r="J72" s="10"/>
      <c r="K72" s="10"/>
      <c r="L72" s="36" t="s">
        <v>62</v>
      </c>
    </row>
    <row r="73" spans="1:12" hidden="1" x14ac:dyDescent="0.25">
      <c r="A73" s="31" t="s">
        <v>54</v>
      </c>
      <c r="B73" s="47">
        <v>0</v>
      </c>
      <c r="C73" s="1"/>
      <c r="D73" s="1"/>
      <c r="E73" s="1"/>
      <c r="F73" s="1"/>
      <c r="G73" s="1"/>
      <c r="H73" s="1"/>
      <c r="I73" s="1"/>
      <c r="J73" s="1"/>
      <c r="K73" s="1"/>
    </row>
    <row r="74" spans="1:12" hidden="1" x14ac:dyDescent="0.25">
      <c r="A74" s="31" t="s">
        <v>55</v>
      </c>
      <c r="B74" s="47">
        <v>0</v>
      </c>
      <c r="C74" s="1"/>
      <c r="D74" s="1"/>
      <c r="E74" s="1"/>
      <c r="F74" s="1"/>
      <c r="G74" s="1"/>
      <c r="H74" s="1"/>
      <c r="I74" s="1"/>
      <c r="J74" s="1"/>
      <c r="K74" s="1"/>
    </row>
    <row r="75" spans="1:12" hidden="1" x14ac:dyDescent="0.25">
      <c r="A75" s="31" t="s">
        <v>56</v>
      </c>
      <c r="B75" s="48">
        <v>0</v>
      </c>
      <c r="C75" s="1"/>
      <c r="D75" s="1"/>
      <c r="E75" s="1"/>
      <c r="F75" s="1"/>
      <c r="G75" s="1"/>
      <c r="H75" s="1"/>
      <c r="I75" s="1"/>
      <c r="J75" s="1"/>
      <c r="K75" s="1"/>
    </row>
    <row r="76" spans="1:12" hidden="1" x14ac:dyDescent="0.25">
      <c r="A76" s="31" t="s">
        <v>57</v>
      </c>
      <c r="B76" s="48">
        <v>0</v>
      </c>
      <c r="C76" s="1"/>
      <c r="D76" s="1"/>
      <c r="E76" s="1"/>
      <c r="F76" s="1"/>
      <c r="G76" s="1"/>
      <c r="H76" s="1"/>
      <c r="I76" s="1"/>
      <c r="J76" s="1"/>
      <c r="K76" s="1"/>
    </row>
    <row r="77" spans="1:12" hidden="1" x14ac:dyDescent="0.25">
      <c r="A77" s="31" t="s">
        <v>58</v>
      </c>
      <c r="B77" s="49" t="s">
        <v>59</v>
      </c>
      <c r="C77" s="1"/>
      <c r="D77" s="1"/>
      <c r="E77" s="1"/>
      <c r="F77" s="1"/>
      <c r="G77" s="1"/>
      <c r="H77" s="1"/>
      <c r="I77" s="1"/>
      <c r="J77" s="1"/>
      <c r="K77" s="1"/>
    </row>
    <row r="78" spans="1:12" hidden="1" x14ac:dyDescent="0.25">
      <c r="A78" s="31" t="s">
        <v>60</v>
      </c>
      <c r="B78" s="50" t="str">
        <f>IF(ISERROR(B74/(B73*B75)),"",B74/(B73*B75))</f>
        <v/>
      </c>
      <c r="C78" s="1"/>
      <c r="D78" s="1"/>
      <c r="E78" s="1"/>
      <c r="F78" s="1"/>
      <c r="G78" s="1"/>
      <c r="H78" s="1"/>
      <c r="I78" s="1"/>
      <c r="J78" s="1"/>
      <c r="K78" s="1"/>
    </row>
    <row r="79" spans="1:12" hidden="1" x14ac:dyDescent="0.25">
      <c r="A79" s="31" t="s">
        <v>93</v>
      </c>
      <c r="B79" s="49" t="s">
        <v>61</v>
      </c>
      <c r="C79" s="1"/>
      <c r="D79" s="1"/>
      <c r="E79" s="1"/>
      <c r="F79" s="1"/>
      <c r="G79" s="1"/>
      <c r="H79" s="1"/>
      <c r="I79" s="1"/>
      <c r="J79" s="1"/>
      <c r="K79" s="1"/>
    </row>
    <row r="80" spans="1:12" s="18" customFormat="1" hidden="1" x14ac:dyDescent="0.25">
      <c r="A80" s="27" t="s">
        <v>92</v>
      </c>
      <c r="B80" s="10"/>
      <c r="C80" s="10"/>
      <c r="D80" s="10"/>
      <c r="E80" s="10"/>
      <c r="F80" s="10"/>
      <c r="G80" s="10"/>
      <c r="H80" s="10"/>
      <c r="I80" s="10"/>
      <c r="J80" s="10"/>
      <c r="K80" s="10"/>
      <c r="L80" s="36" t="s">
        <v>62</v>
      </c>
    </row>
    <row r="81" spans="1:12" s="18" customFormat="1" hidden="1" x14ac:dyDescent="0.25">
      <c r="A81" s="31" t="s">
        <v>54</v>
      </c>
      <c r="B81" s="47">
        <v>0</v>
      </c>
      <c r="C81" s="1"/>
      <c r="D81" s="1"/>
      <c r="E81" s="1"/>
      <c r="F81" s="1"/>
      <c r="G81" s="1"/>
      <c r="H81" s="1"/>
      <c r="I81" s="1"/>
      <c r="J81" s="1"/>
      <c r="K81" s="1"/>
      <c r="L81" s="71"/>
    </row>
    <row r="82" spans="1:12" s="18" customFormat="1" hidden="1" x14ac:dyDescent="0.25">
      <c r="A82" s="31" t="s">
        <v>55</v>
      </c>
      <c r="B82" s="47">
        <v>0</v>
      </c>
      <c r="C82" s="1"/>
      <c r="D82" s="1"/>
      <c r="E82" s="1"/>
      <c r="F82" s="1"/>
      <c r="G82" s="1"/>
      <c r="H82" s="1"/>
      <c r="I82" s="1"/>
      <c r="J82" s="1"/>
      <c r="K82" s="1"/>
      <c r="L82" s="71"/>
    </row>
    <row r="83" spans="1:12" s="18" customFormat="1" hidden="1" x14ac:dyDescent="0.25">
      <c r="A83" s="31" t="s">
        <v>56</v>
      </c>
      <c r="B83" s="48">
        <v>0</v>
      </c>
      <c r="C83" s="1"/>
      <c r="D83" s="1"/>
      <c r="E83" s="1"/>
      <c r="F83" s="1"/>
      <c r="G83" s="1"/>
      <c r="H83" s="1"/>
      <c r="I83" s="1"/>
      <c r="J83" s="1"/>
      <c r="K83" s="1"/>
      <c r="L83" s="71"/>
    </row>
    <row r="84" spans="1:12" s="18" customFormat="1" hidden="1" x14ac:dyDescent="0.25">
      <c r="A84" s="31" t="s">
        <v>57</v>
      </c>
      <c r="B84" s="48">
        <v>0</v>
      </c>
      <c r="C84" s="1"/>
      <c r="D84" s="1"/>
      <c r="E84" s="1"/>
      <c r="F84" s="1"/>
      <c r="G84" s="1"/>
      <c r="H84" s="1"/>
      <c r="I84" s="1"/>
      <c r="J84" s="1"/>
      <c r="K84" s="1"/>
      <c r="L84" s="71"/>
    </row>
    <row r="85" spans="1:12" s="18" customFormat="1" hidden="1" x14ac:dyDescent="0.25">
      <c r="A85" s="31" t="s">
        <v>58</v>
      </c>
      <c r="B85" s="49" t="s">
        <v>59</v>
      </c>
      <c r="C85" s="1"/>
      <c r="D85" s="1"/>
      <c r="E85" s="1"/>
      <c r="F85" s="1"/>
      <c r="G85" s="1"/>
      <c r="H85" s="1"/>
      <c r="I85" s="1"/>
      <c r="J85" s="1"/>
      <c r="K85" s="1"/>
      <c r="L85" s="71"/>
    </row>
    <row r="86" spans="1:12" s="18" customFormat="1" hidden="1" x14ac:dyDescent="0.25">
      <c r="A86" s="31" t="s">
        <v>60</v>
      </c>
      <c r="B86" s="50" t="str">
        <f>IF(ISERROR(B82/(B81*B83)),"",B82/(B81*B83))</f>
        <v/>
      </c>
      <c r="C86" s="1"/>
      <c r="D86" s="1"/>
      <c r="E86" s="1"/>
      <c r="F86" s="1"/>
      <c r="G86" s="1"/>
      <c r="H86" s="1"/>
      <c r="I86" s="1"/>
      <c r="J86" s="1"/>
      <c r="K86" s="1"/>
      <c r="L86" s="71"/>
    </row>
    <row r="87" spans="1:12" s="18" customFormat="1" hidden="1" x14ac:dyDescent="0.25">
      <c r="A87" s="31" t="s">
        <v>93</v>
      </c>
      <c r="B87" s="49" t="s">
        <v>61</v>
      </c>
      <c r="C87" s="1"/>
      <c r="D87" s="1"/>
      <c r="E87" s="1"/>
      <c r="F87" s="1"/>
      <c r="G87" s="1"/>
      <c r="H87" s="1"/>
      <c r="I87" s="1"/>
      <c r="J87" s="1"/>
      <c r="K87" s="1"/>
      <c r="L87" s="71"/>
    </row>
    <row r="88" spans="1:12" s="18" customFormat="1" hidden="1" x14ac:dyDescent="0.25">
      <c r="A88" s="27" t="s">
        <v>129</v>
      </c>
      <c r="B88" s="10"/>
      <c r="C88" s="10"/>
      <c r="D88" s="10"/>
      <c r="E88" s="10"/>
      <c r="F88" s="10"/>
      <c r="G88" s="10"/>
      <c r="H88" s="10"/>
      <c r="I88" s="10"/>
      <c r="J88" s="10"/>
      <c r="K88" s="10"/>
      <c r="L88" s="36"/>
    </row>
    <row r="89" spans="1:12" s="18" customFormat="1" hidden="1" x14ac:dyDescent="0.25">
      <c r="A89" s="31" t="s">
        <v>54</v>
      </c>
      <c r="B89" s="47">
        <v>0</v>
      </c>
      <c r="C89" s="1"/>
      <c r="D89" s="1"/>
      <c r="E89" s="1"/>
      <c r="F89" s="1"/>
      <c r="G89" s="1"/>
      <c r="H89" s="1"/>
      <c r="I89" s="1"/>
      <c r="J89" s="1"/>
      <c r="K89" s="1"/>
      <c r="L89" s="71"/>
    </row>
    <row r="90" spans="1:12" s="18" customFormat="1" hidden="1" x14ac:dyDescent="0.25">
      <c r="A90" s="31" t="s">
        <v>55</v>
      </c>
      <c r="B90" s="47">
        <v>0</v>
      </c>
      <c r="C90" s="1"/>
      <c r="D90" s="1"/>
      <c r="E90" s="1"/>
      <c r="F90" s="1"/>
      <c r="G90" s="1"/>
      <c r="H90" s="1"/>
      <c r="I90" s="1"/>
      <c r="J90" s="1"/>
      <c r="K90" s="1"/>
      <c r="L90" s="71"/>
    </row>
    <row r="91" spans="1:12" s="18" customFormat="1" hidden="1" x14ac:dyDescent="0.25">
      <c r="A91" s="31" t="s">
        <v>56</v>
      </c>
      <c r="B91" s="48">
        <v>0</v>
      </c>
      <c r="C91" s="1"/>
      <c r="D91" s="1"/>
      <c r="E91" s="1"/>
      <c r="F91" s="1"/>
      <c r="G91" s="1"/>
      <c r="H91" s="1"/>
      <c r="I91" s="1"/>
      <c r="J91" s="1"/>
      <c r="K91" s="1"/>
      <c r="L91" s="71"/>
    </row>
    <row r="92" spans="1:12" s="18" customFormat="1" hidden="1" x14ac:dyDescent="0.25">
      <c r="A92" s="31" t="s">
        <v>57</v>
      </c>
      <c r="B92" s="48">
        <v>0</v>
      </c>
      <c r="C92" s="1"/>
      <c r="D92" s="1"/>
      <c r="E92" s="1"/>
      <c r="F92" s="1"/>
      <c r="G92" s="1"/>
      <c r="H92" s="1"/>
      <c r="I92" s="1"/>
      <c r="J92" s="1"/>
      <c r="K92" s="1"/>
      <c r="L92" s="71"/>
    </row>
    <row r="93" spans="1:12" s="18" customFormat="1" hidden="1" x14ac:dyDescent="0.25">
      <c r="A93" s="31" t="s">
        <v>58</v>
      </c>
      <c r="B93" s="49" t="s">
        <v>59</v>
      </c>
      <c r="C93" s="1"/>
      <c r="D93" s="1"/>
      <c r="E93" s="1"/>
      <c r="F93" s="1"/>
      <c r="G93" s="1"/>
      <c r="H93" s="1"/>
      <c r="I93" s="1"/>
      <c r="J93" s="1"/>
      <c r="K93" s="1"/>
      <c r="L93" s="71"/>
    </row>
    <row r="94" spans="1:12" s="18" customFormat="1" hidden="1" x14ac:dyDescent="0.25">
      <c r="A94" s="31" t="s">
        <v>60</v>
      </c>
      <c r="B94" s="50" t="str">
        <f>IF(ISERROR(B90/(B89*B91)),"",B90/(B89*B91))</f>
        <v/>
      </c>
      <c r="C94" s="1"/>
      <c r="D94" s="1"/>
      <c r="E94" s="1"/>
      <c r="F94" s="1"/>
      <c r="G94" s="1"/>
      <c r="H94" s="1"/>
      <c r="I94" s="1"/>
      <c r="J94" s="1"/>
      <c r="K94" s="1"/>
      <c r="L94" s="71"/>
    </row>
    <row r="95" spans="1:12" s="18" customFormat="1" hidden="1" x14ac:dyDescent="0.25">
      <c r="A95" s="31" t="s">
        <v>93</v>
      </c>
      <c r="B95" s="49" t="s">
        <v>61</v>
      </c>
      <c r="C95" s="1"/>
      <c r="D95" s="1"/>
      <c r="E95" s="1"/>
      <c r="F95" s="1"/>
      <c r="G95" s="1"/>
      <c r="H95" s="1"/>
      <c r="I95" s="1"/>
      <c r="J95" s="1"/>
      <c r="K95" s="1"/>
      <c r="L95" s="71"/>
    </row>
    <row r="96" spans="1:12" s="28" customFormat="1" x14ac:dyDescent="0.25">
      <c r="A96" s="27" t="s">
        <v>17</v>
      </c>
      <c r="B96" s="51"/>
      <c r="C96" s="51"/>
      <c r="D96" s="51"/>
      <c r="E96" s="51"/>
      <c r="F96" s="51"/>
      <c r="G96" s="51"/>
      <c r="H96" s="51"/>
      <c r="I96" s="51"/>
      <c r="J96" s="51"/>
      <c r="K96" s="51"/>
      <c r="L96" s="36" t="s">
        <v>62</v>
      </c>
    </row>
    <row r="97" spans="1:12" s="28" customFormat="1" x14ac:dyDescent="0.25">
      <c r="A97" s="31" t="s">
        <v>54</v>
      </c>
      <c r="B97" s="47"/>
      <c r="C97" s="47"/>
      <c r="D97" s="47"/>
      <c r="E97" s="47"/>
      <c r="F97" s="47"/>
      <c r="G97" s="37"/>
      <c r="H97" s="37"/>
      <c r="I97" s="37"/>
      <c r="J97" s="37"/>
      <c r="K97" s="37"/>
      <c r="L97" s="71"/>
    </row>
    <row r="98" spans="1:12" s="28" customFormat="1" x14ac:dyDescent="0.25">
      <c r="A98" s="31" t="s">
        <v>55</v>
      </c>
      <c r="B98" s="47"/>
      <c r="C98" s="47"/>
      <c r="D98" s="47"/>
      <c r="E98" s="47"/>
      <c r="F98" s="47"/>
      <c r="G98" s="37"/>
      <c r="H98" s="37"/>
      <c r="I98" s="37"/>
      <c r="J98" s="37"/>
      <c r="K98" s="37"/>
      <c r="L98" s="71"/>
    </row>
    <row r="99" spans="1:12" s="28" customFormat="1" x14ac:dyDescent="0.25">
      <c r="A99" s="31" t="s">
        <v>63</v>
      </c>
      <c r="B99" s="50" t="str">
        <f>IF(ISERROR(B98/B97),"",B98/B97)</f>
        <v/>
      </c>
      <c r="C99" s="50" t="str">
        <f t="shared" ref="C99:K99" si="37">IF(ISERROR(C98/C97),"",C98/C97)</f>
        <v/>
      </c>
      <c r="D99" s="50" t="str">
        <f t="shared" si="37"/>
        <v/>
      </c>
      <c r="E99" s="50" t="str">
        <f t="shared" si="37"/>
        <v/>
      </c>
      <c r="F99" s="50" t="str">
        <f t="shared" si="37"/>
        <v/>
      </c>
      <c r="G99" s="50" t="str">
        <f t="shared" si="37"/>
        <v/>
      </c>
      <c r="H99" s="50" t="str">
        <f t="shared" si="37"/>
        <v/>
      </c>
      <c r="I99" s="50" t="str">
        <f t="shared" si="37"/>
        <v/>
      </c>
      <c r="J99" s="50" t="str">
        <f t="shared" si="37"/>
        <v/>
      </c>
      <c r="K99" s="50" t="str">
        <f t="shared" si="37"/>
        <v/>
      </c>
      <c r="L99" s="71"/>
    </row>
    <row r="100" spans="1:12" s="28" customFormat="1" x14ac:dyDescent="0.25">
      <c r="A100" s="31" t="s">
        <v>93</v>
      </c>
      <c r="B100" s="49"/>
      <c r="C100" s="40"/>
      <c r="D100" s="40"/>
      <c r="E100" s="40"/>
      <c r="F100" s="40"/>
      <c r="G100" s="40"/>
      <c r="H100" s="40"/>
      <c r="I100" s="40"/>
      <c r="J100" s="40"/>
      <c r="K100" s="40"/>
      <c r="L100" s="71"/>
    </row>
    <row r="101" spans="1:12" x14ac:dyDescent="0.25">
      <c r="A101" s="42" t="s">
        <v>31</v>
      </c>
      <c r="B101" s="16" t="s">
        <v>26</v>
      </c>
      <c r="C101" s="16" t="s">
        <v>26</v>
      </c>
      <c r="D101" s="16" t="s">
        <v>26</v>
      </c>
      <c r="E101" s="16" t="s">
        <v>26</v>
      </c>
      <c r="F101" s="16" t="s">
        <v>26</v>
      </c>
      <c r="G101" s="16" t="s">
        <v>26</v>
      </c>
      <c r="H101" s="16" t="s">
        <v>26</v>
      </c>
      <c r="I101" s="16" t="s">
        <v>26</v>
      </c>
      <c r="J101" s="16" t="s">
        <v>26</v>
      </c>
      <c r="K101" s="16" t="s">
        <v>26</v>
      </c>
      <c r="L101" s="42"/>
    </row>
    <row r="102" spans="1:12" x14ac:dyDescent="0.25">
      <c r="A102" s="36" t="s">
        <v>94</v>
      </c>
      <c r="B102" s="23" t="s">
        <v>25</v>
      </c>
      <c r="C102" s="23" t="s">
        <v>39</v>
      </c>
      <c r="D102" s="5"/>
      <c r="E102" s="5"/>
      <c r="F102" s="5"/>
      <c r="G102" s="5"/>
      <c r="H102" s="6"/>
      <c r="I102" s="6"/>
      <c r="J102" s="6"/>
      <c r="K102" s="6"/>
      <c r="L102" s="71" t="s">
        <v>348</v>
      </c>
    </row>
    <row r="103" spans="1:12" hidden="1" x14ac:dyDescent="0.25">
      <c r="A103" s="31" t="s">
        <v>95</v>
      </c>
      <c r="B103" s="24">
        <v>0</v>
      </c>
      <c r="C103" s="24">
        <v>0</v>
      </c>
      <c r="D103" s="24">
        <v>0</v>
      </c>
      <c r="E103" s="24">
        <v>0</v>
      </c>
      <c r="F103" s="24">
        <v>0</v>
      </c>
      <c r="G103" s="24">
        <v>0</v>
      </c>
      <c r="H103" s="24">
        <v>0</v>
      </c>
      <c r="I103" s="24">
        <v>0</v>
      </c>
      <c r="J103" s="24">
        <v>0</v>
      </c>
      <c r="K103" s="24">
        <v>0</v>
      </c>
      <c r="L103" s="27"/>
    </row>
    <row r="104" spans="1:12" hidden="1" x14ac:dyDescent="0.25">
      <c r="A104" s="31" t="s">
        <v>96</v>
      </c>
      <c r="B104" s="24">
        <v>0</v>
      </c>
      <c r="C104" s="24">
        <v>0</v>
      </c>
      <c r="D104" s="24">
        <v>0</v>
      </c>
      <c r="E104" s="24">
        <v>0</v>
      </c>
      <c r="F104" s="24">
        <v>0</v>
      </c>
      <c r="G104" s="24">
        <v>0</v>
      </c>
      <c r="H104" s="24">
        <v>0</v>
      </c>
      <c r="I104" s="24">
        <v>0</v>
      </c>
      <c r="J104" s="24">
        <v>0</v>
      </c>
      <c r="K104" s="24">
        <v>0</v>
      </c>
    </row>
    <row r="105" spans="1:12" hidden="1" x14ac:dyDescent="0.25">
      <c r="A105" s="31" t="s">
        <v>97</v>
      </c>
      <c r="B105" s="24">
        <v>0</v>
      </c>
      <c r="C105" s="24">
        <v>0</v>
      </c>
      <c r="D105" s="24">
        <v>0</v>
      </c>
      <c r="E105" s="24">
        <v>0</v>
      </c>
      <c r="F105" s="24">
        <v>0</v>
      </c>
      <c r="G105" s="24">
        <v>0</v>
      </c>
      <c r="H105" s="24">
        <v>0</v>
      </c>
      <c r="I105" s="24">
        <v>0</v>
      </c>
      <c r="J105" s="24">
        <v>0</v>
      </c>
      <c r="K105" s="24">
        <v>0</v>
      </c>
    </row>
    <row r="106" spans="1:12" s="18" customFormat="1" hidden="1" x14ac:dyDescent="0.25">
      <c r="A106" s="31" t="s">
        <v>98</v>
      </c>
      <c r="B106" s="24">
        <v>0</v>
      </c>
      <c r="C106" s="24">
        <v>0</v>
      </c>
      <c r="D106" s="24">
        <v>0</v>
      </c>
      <c r="E106" s="24">
        <v>0</v>
      </c>
      <c r="F106" s="24">
        <v>0</v>
      </c>
      <c r="G106" s="24">
        <v>0</v>
      </c>
      <c r="H106" s="24">
        <v>0</v>
      </c>
      <c r="I106" s="24">
        <v>0</v>
      </c>
      <c r="J106" s="24">
        <v>0</v>
      </c>
      <c r="K106" s="24">
        <v>0</v>
      </c>
      <c r="L106" s="71"/>
    </row>
    <row r="107" spans="1:12" s="18" customFormat="1" hidden="1" x14ac:dyDescent="0.25">
      <c r="A107" s="31" t="s">
        <v>99</v>
      </c>
      <c r="B107" s="24">
        <v>0</v>
      </c>
      <c r="C107" s="24">
        <v>0</v>
      </c>
      <c r="D107" s="24">
        <v>0</v>
      </c>
      <c r="E107" s="24">
        <v>0</v>
      </c>
      <c r="F107" s="24">
        <v>0</v>
      </c>
      <c r="G107" s="24">
        <v>0</v>
      </c>
      <c r="H107" s="24">
        <v>0</v>
      </c>
      <c r="I107" s="24">
        <v>0</v>
      </c>
      <c r="J107" s="24">
        <v>0</v>
      </c>
      <c r="K107" s="24">
        <v>0</v>
      </c>
      <c r="L107" s="71"/>
    </row>
    <row r="108" spans="1:12" s="18" customFormat="1" hidden="1" x14ac:dyDescent="0.25">
      <c r="A108" s="31" t="s">
        <v>100</v>
      </c>
      <c r="B108" s="24">
        <v>0</v>
      </c>
      <c r="C108" s="24">
        <v>0</v>
      </c>
      <c r="D108" s="24">
        <v>0</v>
      </c>
      <c r="E108" s="24">
        <v>0</v>
      </c>
      <c r="F108" s="24">
        <v>0</v>
      </c>
      <c r="G108" s="24">
        <v>0</v>
      </c>
      <c r="H108" s="24">
        <v>0</v>
      </c>
      <c r="I108" s="24">
        <v>0</v>
      </c>
      <c r="J108" s="24">
        <v>0</v>
      </c>
      <c r="K108" s="24">
        <v>0</v>
      </c>
      <c r="L108" s="71"/>
    </row>
    <row r="109" spans="1:12" s="18" customFormat="1" hidden="1" x14ac:dyDescent="0.25">
      <c r="A109" s="31" t="s">
        <v>101</v>
      </c>
      <c r="B109" s="24">
        <v>0</v>
      </c>
      <c r="C109" s="24">
        <v>0</v>
      </c>
      <c r="D109" s="24">
        <v>0</v>
      </c>
      <c r="E109" s="24">
        <v>0</v>
      </c>
      <c r="F109" s="24">
        <v>0</v>
      </c>
      <c r="G109" s="24">
        <v>0</v>
      </c>
      <c r="H109" s="24">
        <v>0</v>
      </c>
      <c r="I109" s="24">
        <v>0</v>
      </c>
      <c r="J109" s="24">
        <v>0</v>
      </c>
      <c r="K109" s="24">
        <v>0</v>
      </c>
      <c r="L109" s="27"/>
    </row>
    <row r="110" spans="1:12" s="18" customFormat="1" hidden="1" x14ac:dyDescent="0.25">
      <c r="A110" s="31" t="s">
        <v>102</v>
      </c>
      <c r="B110" s="24">
        <v>0</v>
      </c>
      <c r="C110" s="24">
        <v>0</v>
      </c>
      <c r="D110" s="24">
        <v>0</v>
      </c>
      <c r="E110" s="24">
        <v>0</v>
      </c>
      <c r="F110" s="24">
        <v>0</v>
      </c>
      <c r="G110" s="24">
        <v>0</v>
      </c>
      <c r="H110" s="24">
        <v>0</v>
      </c>
      <c r="I110" s="24">
        <v>0</v>
      </c>
      <c r="J110" s="24">
        <v>0</v>
      </c>
      <c r="K110" s="24">
        <v>0</v>
      </c>
      <c r="L110" s="71"/>
    </row>
    <row r="111" spans="1:12" s="18" customFormat="1" hidden="1" x14ac:dyDescent="0.25">
      <c r="A111" s="31" t="s">
        <v>103</v>
      </c>
      <c r="B111" s="24">
        <v>0</v>
      </c>
      <c r="C111" s="24">
        <v>0</v>
      </c>
      <c r="D111" s="24">
        <v>0</v>
      </c>
      <c r="E111" s="24">
        <v>0</v>
      </c>
      <c r="F111" s="24">
        <v>0</v>
      </c>
      <c r="G111" s="24">
        <v>0</v>
      </c>
      <c r="H111" s="24">
        <v>0</v>
      </c>
      <c r="I111" s="24">
        <v>0</v>
      </c>
      <c r="J111" s="24">
        <v>0</v>
      </c>
      <c r="K111" s="24">
        <v>0</v>
      </c>
      <c r="L111" s="71"/>
    </row>
    <row r="112" spans="1:12" s="18" customFormat="1" hidden="1" x14ac:dyDescent="0.25">
      <c r="A112" s="31" t="s">
        <v>104</v>
      </c>
      <c r="B112" s="24">
        <v>0</v>
      </c>
      <c r="C112" s="24">
        <v>0</v>
      </c>
      <c r="D112" s="24">
        <v>0</v>
      </c>
      <c r="E112" s="24">
        <v>0</v>
      </c>
      <c r="F112" s="24">
        <v>0</v>
      </c>
      <c r="G112" s="24">
        <v>0</v>
      </c>
      <c r="H112" s="24">
        <v>0</v>
      </c>
      <c r="I112" s="24">
        <v>0</v>
      </c>
      <c r="J112" s="24">
        <v>0</v>
      </c>
      <c r="K112" s="24">
        <v>0</v>
      </c>
      <c r="L112" s="71"/>
    </row>
    <row r="113" spans="1:12" s="18" customFormat="1" hidden="1" x14ac:dyDescent="0.25">
      <c r="A113" s="31" t="s">
        <v>105</v>
      </c>
      <c r="B113" s="24">
        <v>0</v>
      </c>
      <c r="C113" s="24">
        <v>0</v>
      </c>
      <c r="D113" s="24">
        <v>0</v>
      </c>
      <c r="E113" s="24">
        <v>0</v>
      </c>
      <c r="F113" s="24">
        <v>0</v>
      </c>
      <c r="G113" s="24">
        <v>0</v>
      </c>
      <c r="H113" s="24">
        <v>0</v>
      </c>
      <c r="I113" s="24">
        <v>0</v>
      </c>
      <c r="J113" s="24">
        <v>0</v>
      </c>
      <c r="K113" s="24">
        <v>0</v>
      </c>
      <c r="L113" s="71"/>
    </row>
    <row r="114" spans="1:12" s="18" customFormat="1" hidden="1" x14ac:dyDescent="0.25">
      <c r="A114" s="31" t="s">
        <v>106</v>
      </c>
      <c r="B114" s="24">
        <v>0</v>
      </c>
      <c r="C114" s="24">
        <v>0</v>
      </c>
      <c r="D114" s="24">
        <v>0</v>
      </c>
      <c r="E114" s="24">
        <v>0</v>
      </c>
      <c r="F114" s="24">
        <v>0</v>
      </c>
      <c r="G114" s="24">
        <v>0</v>
      </c>
      <c r="H114" s="24">
        <v>0</v>
      </c>
      <c r="I114" s="24">
        <v>0</v>
      </c>
      <c r="J114" s="24">
        <v>0</v>
      </c>
      <c r="K114" s="24">
        <v>0</v>
      </c>
      <c r="L114" s="71"/>
    </row>
    <row r="115" spans="1:12" s="18" customFormat="1" hidden="1" x14ac:dyDescent="0.25">
      <c r="A115" s="31" t="s">
        <v>107</v>
      </c>
      <c r="B115" s="24">
        <v>0</v>
      </c>
      <c r="C115" s="24">
        <v>0</v>
      </c>
      <c r="D115" s="24">
        <v>0</v>
      </c>
      <c r="E115" s="24">
        <v>0</v>
      </c>
      <c r="F115" s="24">
        <v>0</v>
      </c>
      <c r="G115" s="24">
        <v>0</v>
      </c>
      <c r="H115" s="24">
        <v>0</v>
      </c>
      <c r="I115" s="24">
        <v>0</v>
      </c>
      <c r="J115" s="24">
        <v>0</v>
      </c>
      <c r="K115" s="24">
        <v>0</v>
      </c>
      <c r="L115" s="71"/>
    </row>
    <row r="116" spans="1:12" s="18" customFormat="1" x14ac:dyDescent="0.25">
      <c r="A116" s="31" t="s">
        <v>108</v>
      </c>
      <c r="B116" s="25">
        <f>IF(AND(B103="",B104="",B105="",B106="",B107="",B108="",B109="",B110="",B111="",B112="",B113="",B114="",B115=""),"",SUM(B103:B115))</f>
        <v>0</v>
      </c>
      <c r="C116" s="25">
        <f t="shared" ref="C116:J116" si="38">IF(AND(C103="",C104="",C105="",C106="",C107="",C108="",C109="",C110="",C111="",C112="",C113="",C114="",C115=""),"",SUM(C103:C115))</f>
        <v>0</v>
      </c>
      <c r="D116" s="25">
        <f t="shared" si="38"/>
        <v>0</v>
      </c>
      <c r="E116" s="25">
        <f t="shared" si="38"/>
        <v>0</v>
      </c>
      <c r="F116" s="25">
        <f t="shared" si="38"/>
        <v>0</v>
      </c>
      <c r="G116" s="25">
        <f t="shared" si="38"/>
        <v>0</v>
      </c>
      <c r="H116" s="25">
        <f t="shared" si="38"/>
        <v>0</v>
      </c>
      <c r="I116" s="25">
        <f t="shared" si="38"/>
        <v>0</v>
      </c>
      <c r="J116" s="25">
        <f t="shared" si="38"/>
        <v>0</v>
      </c>
      <c r="K116" s="25">
        <f>IF(AND(K103="",K104="",K105="",K106="",K107="",K108="",K109="",K110="",K111="",K112="",K113="",K114="",K115=""),"",SUM(K103:K115))</f>
        <v>0</v>
      </c>
      <c r="L116" s="76" t="s">
        <v>349</v>
      </c>
    </row>
    <row r="117" spans="1:12" s="18" customFormat="1" x14ac:dyDescent="0.25">
      <c r="A117" s="31" t="s">
        <v>109</v>
      </c>
      <c r="B117" s="7">
        <f>IF(ISERROR(B116/B$6),"",B116/B$6)</f>
        <v>0</v>
      </c>
      <c r="C117" s="7">
        <f t="shared" ref="C117:K117" si="39">IF(ISERROR(C116/C$6),"",C116/C$6)</f>
        <v>0</v>
      </c>
      <c r="D117" s="7">
        <f t="shared" si="39"/>
        <v>0</v>
      </c>
      <c r="E117" s="7">
        <f t="shared" si="39"/>
        <v>0</v>
      </c>
      <c r="F117" s="7">
        <f t="shared" si="39"/>
        <v>0</v>
      </c>
      <c r="G117" s="7">
        <f t="shared" si="39"/>
        <v>0</v>
      </c>
      <c r="H117" s="7">
        <f t="shared" si="39"/>
        <v>0</v>
      </c>
      <c r="I117" s="7">
        <f t="shared" si="39"/>
        <v>0</v>
      </c>
      <c r="J117" s="7">
        <f t="shared" si="39"/>
        <v>0</v>
      </c>
      <c r="K117" s="7">
        <f t="shared" si="39"/>
        <v>0</v>
      </c>
      <c r="L117" s="71"/>
    </row>
    <row r="118" spans="1:12" s="18" customFormat="1" x14ac:dyDescent="0.25">
      <c r="A118" s="27" t="s">
        <v>44</v>
      </c>
      <c r="B118" s="4" t="s">
        <v>21</v>
      </c>
      <c r="C118" s="13">
        <v>0.1</v>
      </c>
      <c r="D118" s="9" t="s">
        <v>36</v>
      </c>
      <c r="E118" s="2"/>
      <c r="F118" s="2"/>
      <c r="G118" s="2"/>
      <c r="H118" s="2"/>
      <c r="I118" s="2"/>
      <c r="J118" s="2"/>
      <c r="K118" s="2"/>
      <c r="L118" s="71"/>
    </row>
    <row r="119" spans="1:12" s="28" customFormat="1" x14ac:dyDescent="0.25">
      <c r="A119" s="42" t="s">
        <v>31</v>
      </c>
      <c r="B119" s="26" t="str">
        <f>IF(B3&gt;$K$1,"",IF(B117="","",IF(B117&gt;$C118,"过高","正常")))</f>
        <v>正常</v>
      </c>
      <c r="C119" s="26" t="str">
        <f t="shared" ref="C119:K119" si="40">IF(C3&gt;$K$1,"",IF(C117="","",IF(C117&gt;$C118,"过高","正常")))</f>
        <v>正常</v>
      </c>
      <c r="D119" s="26" t="str">
        <f t="shared" si="40"/>
        <v>正常</v>
      </c>
      <c r="E119" s="26" t="str">
        <f t="shared" si="40"/>
        <v>正常</v>
      </c>
      <c r="F119" s="26" t="str">
        <f t="shared" si="40"/>
        <v>正常</v>
      </c>
      <c r="G119" s="26" t="str">
        <f t="shared" si="40"/>
        <v>正常</v>
      </c>
      <c r="H119" s="26" t="str">
        <f t="shared" si="40"/>
        <v/>
      </c>
      <c r="I119" s="26" t="str">
        <f t="shared" si="40"/>
        <v/>
      </c>
      <c r="J119" s="26" t="str">
        <f t="shared" si="40"/>
        <v/>
      </c>
      <c r="K119" s="26" t="str">
        <f t="shared" si="40"/>
        <v/>
      </c>
      <c r="L119" s="42"/>
    </row>
    <row r="120" spans="1:12" x14ac:dyDescent="0.25">
      <c r="A120" s="27" t="s">
        <v>110</v>
      </c>
      <c r="B120" s="15" t="s">
        <v>27</v>
      </c>
      <c r="C120" s="13">
        <v>0.2</v>
      </c>
      <c r="D120" s="19" t="s">
        <v>29</v>
      </c>
      <c r="E120" s="1"/>
      <c r="F120" s="1"/>
      <c r="G120" s="1"/>
      <c r="H120" s="1"/>
      <c r="I120" s="1"/>
      <c r="J120" s="1"/>
      <c r="K120" s="1"/>
      <c r="L120" s="41" t="s">
        <v>350</v>
      </c>
    </row>
    <row r="121" spans="1:12" x14ac:dyDescent="0.25">
      <c r="A121" s="31" t="s">
        <v>111</v>
      </c>
      <c r="B121" s="34">
        <f>VLOOKUP($A121,现金流量表!$A$2:$K$99,B$3+1,)</f>
        <v>211230723000</v>
      </c>
      <c r="C121" s="34">
        <f>VLOOKUP($A121,现金流量表!$A$2:$K$99,C$3+1,)</f>
        <v>195820338000</v>
      </c>
      <c r="D121" s="34">
        <f>VLOOKUP($A121,现金流量表!$A$2:$K$99,D$3+1,)</f>
        <v>153324273000</v>
      </c>
      <c r="E121" s="34">
        <f>VLOOKUP($A121,现金流量表!$A$2:$K$99,E$3+1,)</f>
        <v>125902444000</v>
      </c>
      <c r="F121" s="34">
        <f>VLOOKUP($A121,现金流量表!$A$2:$K$99,F$3+1,)</f>
        <v>105499097000</v>
      </c>
      <c r="G121" s="34">
        <f>VLOOKUP($A121,现金流量表!$A$2:$K$99,G$3+1,)</f>
        <v>77338957300</v>
      </c>
      <c r="H121" s="34">
        <f>VLOOKUP($A121,现金流量表!$A$2:$K$99,H$3+1,)</f>
        <v>71852982200</v>
      </c>
      <c r="I121" s="34">
        <f>VLOOKUP($A121,现金流量表!$A$2:$K$99,I$3+1,)</f>
        <v>65230375100</v>
      </c>
      <c r="J121" s="34">
        <f>VLOOKUP($A121,现金流量表!$A$2:$K$99,J$3+1,)</f>
        <v>68184144400.000008</v>
      </c>
      <c r="K121" s="34">
        <f>VLOOKUP($A121,现金流量表!$A$2:$K$99,K$3+1,)</f>
        <v>48013850199.999992</v>
      </c>
      <c r="L121" s="41" t="s">
        <v>351</v>
      </c>
    </row>
    <row r="122" spans="1:12" x14ac:dyDescent="0.25">
      <c r="A122" s="57" t="s">
        <v>66</v>
      </c>
      <c r="B122" s="34">
        <f t="shared" ref="B122:K122" si="41">B6</f>
        <v>261819635000</v>
      </c>
      <c r="C122" s="34">
        <f t="shared" si="41"/>
        <v>241918896000</v>
      </c>
      <c r="D122" s="34">
        <f t="shared" si="41"/>
        <v>159841701000</v>
      </c>
      <c r="E122" s="34">
        <f t="shared" si="41"/>
        <v>139347124000</v>
      </c>
      <c r="F122" s="34">
        <f t="shared" si="41"/>
        <v>142310967000</v>
      </c>
      <c r="G122" s="34">
        <f t="shared" si="41"/>
        <v>121265180020</v>
      </c>
      <c r="H122" s="34">
        <f t="shared" si="41"/>
        <v>102713022570</v>
      </c>
      <c r="I122" s="34">
        <f t="shared" si="41"/>
        <v>134116154200</v>
      </c>
      <c r="J122" s="34">
        <f t="shared" si="41"/>
        <v>110263072250</v>
      </c>
      <c r="K122" s="34">
        <f t="shared" si="41"/>
        <v>69043312610.649994</v>
      </c>
    </row>
    <row r="123" spans="1:12" x14ac:dyDescent="0.25">
      <c r="A123" s="57" t="s">
        <v>112</v>
      </c>
      <c r="B123" s="34">
        <f t="shared" ref="B123:K123" si="42">B34</f>
        <v>31946468000</v>
      </c>
      <c r="C123" s="34">
        <f t="shared" si="42"/>
        <v>28382943000</v>
      </c>
      <c r="D123" s="34">
        <f t="shared" si="42"/>
        <v>20881999000</v>
      </c>
      <c r="E123" s="34">
        <f t="shared" si="42"/>
        <v>23260869000</v>
      </c>
      <c r="F123" s="34">
        <f t="shared" si="42"/>
        <v>26459336000</v>
      </c>
      <c r="G123" s="34">
        <f t="shared" si="42"/>
        <v>22078970500</v>
      </c>
      <c r="H123" s="34">
        <f t="shared" si="42"/>
        <v>22250998400</v>
      </c>
      <c r="I123" s="34">
        <f t="shared" si="42"/>
        <v>20169108700</v>
      </c>
      <c r="J123" s="34">
        <f t="shared" si="42"/>
        <v>12465091500</v>
      </c>
      <c r="K123" s="34">
        <f t="shared" si="42"/>
        <v>14548970700</v>
      </c>
    </row>
    <row r="124" spans="1:12" s="18" customFormat="1" x14ac:dyDescent="0.25">
      <c r="A124" s="57" t="s">
        <v>113</v>
      </c>
      <c r="B124" s="34">
        <f>VLOOKUP($A124,资产负债表!$A$2:$K$99,B$3+1,)</f>
        <v>2971368000</v>
      </c>
      <c r="C124" s="34">
        <f>VLOOKUP($A124,资产负债表!$A$2:$K$99,C$3+1,)</f>
        <v>2809998000</v>
      </c>
      <c r="D124" s="34">
        <f>VLOOKUP($A124,资产负债表!$A$2:$K$99,D$3+1,)</f>
        <v>1140133000</v>
      </c>
      <c r="E124" s="34">
        <f>VLOOKUP($A124,资产负债表!$A$2:$K$99,E$3+1,)</f>
        <v>1101339000</v>
      </c>
      <c r="F124" s="34">
        <f>VLOOKUP($A124,资产负债表!$A$2:$K$99,F$3+1,)</f>
        <v>1226711000</v>
      </c>
      <c r="G124" s="34">
        <f>VLOOKUP($A124,资产负债表!$A$2:$K$99,G$3+1,)</f>
        <v>1051259000</v>
      </c>
      <c r="H124" s="34">
        <f>VLOOKUP($A124,资产负债表!$A$2:$K$99,H$3+1,)</f>
        <v>1121345600</v>
      </c>
      <c r="I124" s="34">
        <f>VLOOKUP($A124,资产负债表!$A$2:$K$99,I$3+1,)</f>
        <v>2509095800</v>
      </c>
      <c r="J124" s="34">
        <f>VLOOKUP($A124,资产负债表!$A$2:$K$99,J$3+1,)</f>
        <v>2268994100</v>
      </c>
      <c r="K124" s="34">
        <f>VLOOKUP($A124,资产负债表!$A$2:$K$99,K$3+1,)</f>
        <v>1348559000</v>
      </c>
      <c r="L124" s="71"/>
    </row>
    <row r="125" spans="1:12" x14ac:dyDescent="0.25">
      <c r="A125" s="57" t="s">
        <v>114</v>
      </c>
      <c r="B125" s="34">
        <f>VLOOKUP($A125,资产负债表!$A$2:$K$99,B$3+1,)</f>
        <v>16781666000</v>
      </c>
      <c r="C125" s="34">
        <f>VLOOKUP($A125,资产负债表!$A$2:$K$99,C$3+1,)</f>
        <v>17409063000</v>
      </c>
      <c r="D125" s="34">
        <f>VLOOKUP($A125,资产负债表!$A$2:$K$99,D$3+1,)</f>
        <v>10252375000</v>
      </c>
      <c r="E125" s="34">
        <f>VLOOKUP($A125,资产负债表!$A$2:$K$99,E$3+1,)</f>
        <v>5616361000</v>
      </c>
      <c r="F125" s="34">
        <f>VLOOKUP($A125,资产负债表!$A$2:$K$99,F$3+1,)</f>
        <v>3992540000</v>
      </c>
      <c r="G125" s="34">
        <f>VLOOKUP($A125,资产负债表!$A$2:$K$99,G$3+1,)</f>
        <v>4983346300</v>
      </c>
      <c r="H125" s="34">
        <f>VLOOKUP($A125,资产负债表!$A$2:$K$99,H$3+1,)</f>
        <v>3570152800.0000005</v>
      </c>
      <c r="I125" s="34">
        <f>VLOOKUP($A125,资产负债表!$A$2:$K$99,I$3+1,)</f>
        <v>6031973900</v>
      </c>
      <c r="J125" s="34">
        <f>VLOOKUP($A125,资产负债表!$A$2:$K$99,J$3+1,)</f>
        <v>4198012800.0000005</v>
      </c>
      <c r="K125" s="34">
        <f>VLOOKUP($A125,资产负债表!$A$2:$K$99,K$3+1,)</f>
        <v>3251626800</v>
      </c>
    </row>
    <row r="126" spans="1:12" s="28" customFormat="1" x14ac:dyDescent="0.25">
      <c r="A126" s="42" t="s">
        <v>31</v>
      </c>
      <c r="B126" s="26" t="str">
        <f>IF(B3&gt;$K$1-1,"",IF(B122-(B123-C123)-(B124-C124)+(B125-C125)=0,"",IF(ABS(1-B121/(B122-(B123-C123)-(B124-C124)+(B125-C125)))&lt;$C$120,"正常","异常")))</f>
        <v>正常</v>
      </c>
      <c r="C126" s="26" t="str">
        <f t="shared" ref="C126:J126" si="43">IF(C3&gt;$K$1-1,"",IF(C122-(C123-D123)-(C124-D124)+(C125-D125)=0,"",IF(ABS(1-C121/(C122-(C123-D123)-(C124-D124)+(C125-D125)))&lt;$C$120,"正常","异常")))</f>
        <v>正常</v>
      </c>
      <c r="D126" s="26" t="str">
        <f t="shared" si="43"/>
        <v>正常</v>
      </c>
      <c r="E126" s="26" t="str">
        <f t="shared" si="43"/>
        <v>正常</v>
      </c>
      <c r="F126" s="26" t="str">
        <f t="shared" si="43"/>
        <v>异常</v>
      </c>
      <c r="G126" s="26" t="str">
        <f t="shared" si="43"/>
        <v/>
      </c>
      <c r="H126" s="26" t="str">
        <f t="shared" si="43"/>
        <v/>
      </c>
      <c r="I126" s="26" t="str">
        <f t="shared" si="43"/>
        <v/>
      </c>
      <c r="J126" s="26" t="str">
        <f t="shared" si="43"/>
        <v/>
      </c>
      <c r="K126" s="26" t="str">
        <f>IF(K3&gt;$K$1-1,"",IF(K122-(K123-#REF!)-(K124-#REF!)+(K125-#REF!)=0,"",IF(ABS(1-K121/(K122-(K123-#REF!)-(K124-#REF!)+(K125-#REF!)))&lt;$C$120,"正常","异常")))</f>
        <v/>
      </c>
      <c r="L126" s="42"/>
    </row>
    <row r="127" spans="1:12" x14ac:dyDescent="0.25">
      <c r="A127" s="58" t="s">
        <v>115</v>
      </c>
      <c r="B127" s="34">
        <f>VLOOKUP($A127,现金流量表!$A$2:$K$99,B$3+1,)</f>
        <v>127367813000</v>
      </c>
      <c r="C127" s="34">
        <f>VLOOKUP($A127,现金流量表!$A$2:$K$99,C$3+1,)</f>
        <v>116508042000</v>
      </c>
      <c r="D127" s="34">
        <f>VLOOKUP($A127,现金流量表!$A$2:$K$99,D$3+1,)</f>
        <v>89440654000</v>
      </c>
      <c r="E127" s="34">
        <f>VLOOKUP($A127,现金流量表!$A$2:$K$99,E$3+1,)</f>
        <v>71733220000</v>
      </c>
      <c r="F127" s="34">
        <f>VLOOKUP($A127,现金流量表!$A$2:$K$99,F$3+1,)</f>
        <v>51280772000</v>
      </c>
      <c r="G127" s="34">
        <f>VLOOKUP($A127,现金流量表!$A$2:$K$99,G$3+1,)</f>
        <v>41495028900</v>
      </c>
      <c r="H127" s="34">
        <f>VLOOKUP($A127,现金流量表!$A$2:$K$99,H$3+1,)</f>
        <v>48901421200</v>
      </c>
      <c r="I127" s="34">
        <f>VLOOKUP($A127,现金流量表!$A$2:$K$99,I$3+1,)</f>
        <v>38063701000</v>
      </c>
      <c r="J127" s="34">
        <f>VLOOKUP($A127,现金流量表!$A$2:$K$99,J$3+1,)</f>
        <v>45756647000</v>
      </c>
      <c r="K127" s="34">
        <f>VLOOKUP($A127,现金流量表!$A$2:$K$99,K$3+1,)</f>
        <v>31942362300</v>
      </c>
      <c r="L127" s="41" t="s">
        <v>352</v>
      </c>
    </row>
    <row r="128" spans="1:12" x14ac:dyDescent="0.25">
      <c r="A128" s="57" t="s">
        <v>116</v>
      </c>
      <c r="B128" s="35">
        <f t="shared" ref="B128:K128" si="44">B7</f>
        <v>188164557000</v>
      </c>
      <c r="C128" s="35">
        <f t="shared" si="44"/>
        <v>180460552000</v>
      </c>
      <c r="D128" s="35">
        <f t="shared" si="44"/>
        <v>115615437000</v>
      </c>
      <c r="E128" s="35">
        <f t="shared" si="44"/>
        <v>102662818000</v>
      </c>
      <c r="F128" s="35">
        <f t="shared" si="44"/>
        <v>105669686000</v>
      </c>
      <c r="G128" s="35">
        <f t="shared" si="44"/>
        <v>92818063100</v>
      </c>
      <c r="H128" s="35">
        <f t="shared" si="44"/>
        <v>79449035900</v>
      </c>
      <c r="I128" s="35">
        <f t="shared" si="44"/>
        <v>108418755300</v>
      </c>
      <c r="J128" s="35">
        <f t="shared" si="44"/>
        <v>90224295700</v>
      </c>
      <c r="K128" s="35">
        <f t="shared" si="44"/>
        <v>53446834300</v>
      </c>
      <c r="L128" s="41" t="s">
        <v>353</v>
      </c>
    </row>
    <row r="129" spans="1:12" x14ac:dyDescent="0.25">
      <c r="A129" s="57" t="s">
        <v>33</v>
      </c>
      <c r="B129" s="35">
        <f t="shared" ref="B129:K129" si="45">B42</f>
        <v>29645018000</v>
      </c>
      <c r="C129" s="35">
        <f t="shared" si="45"/>
        <v>29444166000</v>
      </c>
      <c r="D129" s="35">
        <f t="shared" si="45"/>
        <v>15626897000</v>
      </c>
      <c r="E129" s="35">
        <f t="shared" si="45"/>
        <v>10448937000</v>
      </c>
      <c r="F129" s="35">
        <f t="shared" si="45"/>
        <v>15020030000</v>
      </c>
      <c r="G129" s="35">
        <f t="shared" si="45"/>
        <v>15197723799.999998</v>
      </c>
      <c r="H129" s="35">
        <f t="shared" si="45"/>
        <v>13350000900</v>
      </c>
      <c r="I129" s="35">
        <f t="shared" si="45"/>
        <v>16343296100.000002</v>
      </c>
      <c r="J129" s="35">
        <f t="shared" si="45"/>
        <v>19749981200</v>
      </c>
      <c r="K129" s="35">
        <f t="shared" si="45"/>
        <v>10536815600</v>
      </c>
    </row>
    <row r="130" spans="1:12" x14ac:dyDescent="0.25">
      <c r="A130" s="57" t="s">
        <v>117</v>
      </c>
      <c r="B130" s="34">
        <f>VLOOKUP($A130,资产负债表!$A$2:$K$99,B$3+1,)</f>
        <v>60226741000</v>
      </c>
      <c r="C130" s="34">
        <f>VLOOKUP($A130,资产负债表!$A$2:$K$99,C$3+1,)</f>
        <v>60352562000</v>
      </c>
      <c r="D130" s="34">
        <f>VLOOKUP($A130,资产负债表!$A$2:$K$99,D$3+1,)</f>
        <v>43841899000</v>
      </c>
      <c r="E130" s="34">
        <f>VLOOKUP($A130,资产负债表!$A$2:$K$99,E$3+1,)</f>
        <v>34527204000</v>
      </c>
      <c r="F130" s="34">
        <f>VLOOKUP($A130,资产负债表!$A$2:$K$99,F$3+1,)</f>
        <v>32785951000</v>
      </c>
      <c r="G130" s="34">
        <f>VLOOKUP($A130,资产负债表!$A$2:$K$99,G$3+1,)</f>
        <v>23816578100</v>
      </c>
      <c r="H130" s="34">
        <f>VLOOKUP($A130,资产负债表!$A$2:$K$99,H$3+1,)</f>
        <v>25016982900</v>
      </c>
      <c r="I130" s="34">
        <f>VLOOKUP($A130,资产负债表!$A$2:$K$99,I$3+1,)</f>
        <v>28342904200</v>
      </c>
      <c r="J130" s="34">
        <f>VLOOKUP($A130,资产负债表!$A$2:$K$99,J$3+1,)</f>
        <v>25209412799.999996</v>
      </c>
      <c r="K130" s="34">
        <f>VLOOKUP($A130,资产负债表!$A$2:$K$99,K$3+1,)</f>
        <v>18589266600</v>
      </c>
    </row>
    <row r="131" spans="1:12" x14ac:dyDescent="0.25">
      <c r="A131" s="57" t="s">
        <v>84</v>
      </c>
      <c r="B131" s="34">
        <f>B46</f>
        <v>2215888000</v>
      </c>
      <c r="C131" s="34">
        <f>C46</f>
        <v>1672248000</v>
      </c>
      <c r="D131" s="34">
        <f t="shared" ref="D131:K131" si="46">D46</f>
        <v>1587366000</v>
      </c>
      <c r="E131" s="34">
        <f t="shared" si="46"/>
        <v>988625000</v>
      </c>
      <c r="F131" s="34">
        <f t="shared" si="46"/>
        <v>1414470000</v>
      </c>
      <c r="G131" s="34">
        <f t="shared" si="46"/>
        <v>2432420500</v>
      </c>
      <c r="H131" s="34">
        <f t="shared" si="46"/>
        <v>1802482200</v>
      </c>
      <c r="I131" s="34">
        <f t="shared" si="46"/>
        <v>3067945900.0000005</v>
      </c>
      <c r="J131" s="34">
        <f t="shared" si="46"/>
        <v>4705716600</v>
      </c>
      <c r="K131" s="34">
        <f t="shared" si="46"/>
        <v>1869629200.0000002</v>
      </c>
    </row>
    <row r="132" spans="1:12" s="28" customFormat="1" x14ac:dyDescent="0.25">
      <c r="A132" s="42" t="s">
        <v>31</v>
      </c>
      <c r="B132" s="26" t="str">
        <f>IF(B3&gt;$K$1-1,"",IF(B128+(B129-C129)-(B130-C130)+(B131-C131)=0,"",IF(ABS(1-B127/(B128+(B129-C129)-(B130-C130)+(B131-C131)))&lt;$C$120,"正常","异常")))</f>
        <v>异常</v>
      </c>
      <c r="C132" s="26" t="str">
        <f t="shared" ref="C132:J132" si="47">IF(C3&gt;$K$1-1,"",IF(C128+(C129-D129)-(C130-D130)+(C131-D131)=0,"",IF(ABS(1-C127/(C128+(C129-D129)-(C130-D130)+(C131-D131)))&lt;$C$120,"正常","异常")))</f>
        <v>异常</v>
      </c>
      <c r="D132" s="26" t="str">
        <f t="shared" si="47"/>
        <v>异常</v>
      </c>
      <c r="E132" s="26" t="str">
        <f t="shared" si="47"/>
        <v>异常</v>
      </c>
      <c r="F132" s="26" t="str">
        <f t="shared" si="47"/>
        <v>异常</v>
      </c>
      <c r="G132" s="26" t="str">
        <f t="shared" si="47"/>
        <v/>
      </c>
      <c r="H132" s="26" t="str">
        <f t="shared" si="47"/>
        <v/>
      </c>
      <c r="I132" s="26" t="str">
        <f t="shared" si="47"/>
        <v/>
      </c>
      <c r="J132" s="26" t="str">
        <f t="shared" si="47"/>
        <v/>
      </c>
      <c r="K132" s="26" t="str">
        <f>IF(K3&gt;$K$1-1,"",IF(K128+(K129-#REF!)-(K130-#REF!)+(K131-#REF!)=0,"",IF(ABS(1-K127/(K128+(K129-#REF!)-(K130-#REF!)+(K131-#REF!)))&lt;$C$120,"正常","异常")))</f>
        <v/>
      </c>
      <c r="L132" s="42"/>
    </row>
    <row r="133" spans="1:12" x14ac:dyDescent="0.25">
      <c r="A133" s="57" t="s">
        <v>300</v>
      </c>
      <c r="B133" s="34">
        <f>VLOOKUP($A133,现金流量表!$A$2:$K$99,B$3+1,)</f>
        <v>-3879371000</v>
      </c>
      <c r="C133" s="34">
        <f>VLOOKUP($A133,现金流量表!$A$2:$K$99,C$3+1,)</f>
        <v>9317923000</v>
      </c>
      <c r="D133" s="34">
        <f>VLOOKUP($A133,现金流量表!$A$2:$K$99,D$3+1,)</f>
        <v>7326413000</v>
      </c>
      <c r="E133" s="34">
        <f>VLOOKUP($A133,现金流量表!$A$2:$K$99,E$3+1,)</f>
        <v>-84923000</v>
      </c>
      <c r="F133" s="34">
        <f>VLOOKUP($A133,现金流量表!$A$2:$K$99,F$3+1,)</f>
        <v>-11491634000</v>
      </c>
      <c r="G133" s="34">
        <f>VLOOKUP($A133,现金流量表!$A$2:$K$99,G$3+1,)</f>
        <v>4219795000</v>
      </c>
      <c r="H133" s="34">
        <f>VLOOKUP($A133,现金流量表!$A$2:$K$99,H$3+1,)</f>
        <v>-810015800</v>
      </c>
      <c r="I133" s="34">
        <f>VLOOKUP($A133,现金流量表!$A$2:$K$99,I$3+1,)</f>
        <v>5435185400</v>
      </c>
      <c r="J133" s="34">
        <f>VLOOKUP($A133,现金流量表!$A$2:$K$99,J$3+1,)</f>
        <v>1669343599.9999998</v>
      </c>
      <c r="K133" s="34" t="str">
        <f>VLOOKUP($A133,现金流量表!$A$2:$K$99,K$3+1,)</f>
        <v>--</v>
      </c>
    </row>
    <row r="134" spans="1:12" x14ac:dyDescent="0.25">
      <c r="A134" s="57" t="s">
        <v>118</v>
      </c>
      <c r="B134" s="34">
        <f>VLOOKUP($A134,资产负债表!$A$2:$K$99,B$3+1,)</f>
        <v>27888280000</v>
      </c>
      <c r="C134" s="34">
        <f>VLOOKUP($A134,资产负债表!$A$2:$K$99,C$3+1,)</f>
        <v>48274200000</v>
      </c>
      <c r="D134" s="34">
        <f>VLOOKUP($A134,资产负债表!$A$2:$K$99,D$3+1,)</f>
        <v>27169118000</v>
      </c>
      <c r="E134" s="34">
        <f>VLOOKUP($A134,资产负债表!$A$2:$K$99,E$3+1,)</f>
        <v>11861977000</v>
      </c>
      <c r="F134" s="34">
        <f>VLOOKUP($A134,资产负债表!$A$2:$K$99,F$3+1,)</f>
        <v>6203283000</v>
      </c>
      <c r="G134" s="34">
        <f>VLOOKUP($A134,资产负债表!$A$2:$K$99,G$3+1,)</f>
        <v>15573683000</v>
      </c>
      <c r="H134" s="34">
        <f>VLOOKUP($A134,资产负债表!$A$2:$K$99,H$3+1,)</f>
        <v>13435509100</v>
      </c>
      <c r="I134" s="34">
        <f>VLOOKUP($A134,资产负债表!$A$2:$K$99,I$3+1,)</f>
        <v>12746253400</v>
      </c>
      <c r="J134" s="34">
        <f>VLOOKUP($A134,资产负债表!$A$2:$K$99,J$3+1,)</f>
        <v>9405374600</v>
      </c>
      <c r="K134" s="34">
        <f>VLOOKUP($A134,资产负债表!$A$2:$K$99,K$3+1,)</f>
        <v>6371411300</v>
      </c>
    </row>
    <row r="135" spans="1:12" s="28" customFormat="1" ht="15.75" thickBot="1" x14ac:dyDescent="0.3">
      <c r="A135" s="59" t="s">
        <v>31</v>
      </c>
      <c r="B135" s="64" t="str">
        <f>IF(B3&gt;$K$1-1,"",IF(B134-C134=0,"",IF(ABS(1-B133/(B134-C134))&lt;$C$120,"正常","异常")))</f>
        <v>异常</v>
      </c>
      <c r="C135" s="64" t="str">
        <f t="shared" ref="C135:J135" si="48">IF(C3&gt;$K$1-1,"",IF(C134-D134=0,"",IF(ABS(1-C133/(C134-D134))&lt;$C$120,"正常","异常")))</f>
        <v>异常</v>
      </c>
      <c r="D135" s="64" t="str">
        <f t="shared" si="48"/>
        <v>异常</v>
      </c>
      <c r="E135" s="64" t="str">
        <f t="shared" si="48"/>
        <v>异常</v>
      </c>
      <c r="F135" s="64" t="str">
        <f t="shared" si="48"/>
        <v>异常</v>
      </c>
      <c r="G135" s="64" t="str">
        <f t="shared" si="48"/>
        <v/>
      </c>
      <c r="H135" s="64" t="str">
        <f t="shared" si="48"/>
        <v/>
      </c>
      <c r="I135" s="64" t="str">
        <f t="shared" si="48"/>
        <v/>
      </c>
      <c r="J135" s="64" t="str">
        <f t="shared" si="48"/>
        <v/>
      </c>
      <c r="K135" s="64" t="str">
        <f>IF(K3&gt;$K$1-1,"",IF(K134-#REF!=0,"",IF(ABS(1-K133/(K134-#REF!))&lt;$C$120,"正常","异常")))</f>
        <v/>
      </c>
      <c r="L135" s="59"/>
    </row>
    <row r="136" spans="1:12" ht="15.75" thickTop="1" x14ac:dyDescent="0.25">
      <c r="C136" s="18"/>
      <c r="D136" s="18"/>
      <c r="E136" s="18"/>
      <c r="F136" s="18"/>
      <c r="G136" s="18"/>
      <c r="H136" s="18"/>
      <c r="I136" s="18"/>
      <c r="J136" s="18"/>
    </row>
    <row r="137" spans="1:12" x14ac:dyDescent="0.25">
      <c r="B137" s="12"/>
      <c r="C137" s="12"/>
      <c r="D137" s="12"/>
      <c r="E137" s="12"/>
      <c r="F137" s="12"/>
      <c r="G137" s="12"/>
      <c r="H137" s="12"/>
      <c r="I137" s="12"/>
      <c r="J137" s="18"/>
    </row>
    <row r="138" spans="1:12" x14ac:dyDescent="0.25">
      <c r="B138" s="12"/>
      <c r="C138" s="12"/>
      <c r="D138" s="12"/>
      <c r="E138" s="12"/>
      <c r="F138" s="12"/>
      <c r="G138" s="12"/>
      <c r="H138" s="12"/>
      <c r="I138" s="12"/>
      <c r="J138" s="18"/>
    </row>
  </sheetData>
  <phoneticPr fontId="5" type="noConversion"/>
  <dataValidations count="1">
    <dataValidation type="whole" allowBlank="1" showInputMessage="1" showErrorMessage="1" errorTitle="输入错误" error="请输入想要分析的年报数量，但不大于实际填入本表的最大年报数量。" promptTitle="输入提醒" prompt="请输入想要分析的年报数量，但不大于实际填入本表的最大年报数量。" sqref="K1">
      <formula1>1</formula1>
      <formula2>10</formula2>
    </dataValidation>
  </dataValidations>
  <printOptions horizontalCentered="1"/>
  <pageMargins left="0.70866141732283472" right="0.70866141732283472" top="0.74803149606299213" bottom="0.74803149606299213" header="0.31496062992125984" footer="0.31496062992125984"/>
  <pageSetup paperSize="8" scale="65" orientation="portrait" horizontalDpi="300" r:id="rId1"/>
  <headerFooter>
    <oddFooter>&amp;R&amp;"宋体,常规"第&amp;"Calibri,常规"&amp;P&amp;"宋体,常规"页，共&amp;"Calibri,常规"&amp;N&amp;"宋体,常规"页</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6"/>
  <sheetViews>
    <sheetView workbookViewId="0">
      <selection sqref="A1:XFD1048576"/>
    </sheetView>
  </sheetViews>
  <sheetFormatPr defaultRowHeight="15" x14ac:dyDescent="0.25"/>
  <cols>
    <col min="1" max="1" width="25" style="28" customWidth="1"/>
    <col min="2" max="14" width="10" style="28" customWidth="1"/>
    <col min="15" max="256" width="9.140625" style="28"/>
    <col min="257" max="257" width="25" style="28" customWidth="1"/>
    <col min="258" max="270" width="10" style="28" customWidth="1"/>
    <col min="271" max="512" width="9.140625" style="28"/>
    <col min="513" max="513" width="25" style="28" customWidth="1"/>
    <col min="514" max="526" width="10" style="28" customWidth="1"/>
    <col min="527" max="768" width="9.140625" style="28"/>
    <col min="769" max="769" width="25" style="28" customWidth="1"/>
    <col min="770" max="782" width="10" style="28" customWidth="1"/>
    <col min="783" max="1024" width="9.140625" style="28"/>
    <col min="1025" max="1025" width="25" style="28" customWidth="1"/>
    <col min="1026" max="1038" width="10" style="28" customWidth="1"/>
    <col min="1039" max="1280" width="9.140625" style="28"/>
    <col min="1281" max="1281" width="25" style="28" customWidth="1"/>
    <col min="1282" max="1294" width="10" style="28" customWidth="1"/>
    <col min="1295" max="1536" width="9.140625" style="28"/>
    <col min="1537" max="1537" width="25" style="28" customWidth="1"/>
    <col min="1538" max="1550" width="10" style="28" customWidth="1"/>
    <col min="1551" max="1792" width="9.140625" style="28"/>
    <col min="1793" max="1793" width="25" style="28" customWidth="1"/>
    <col min="1794" max="1806" width="10" style="28" customWidth="1"/>
    <col min="1807" max="2048" width="9.140625" style="28"/>
    <col min="2049" max="2049" width="25" style="28" customWidth="1"/>
    <col min="2050" max="2062" width="10" style="28" customWidth="1"/>
    <col min="2063" max="2304" width="9.140625" style="28"/>
    <col min="2305" max="2305" width="25" style="28" customWidth="1"/>
    <col min="2306" max="2318" width="10" style="28" customWidth="1"/>
    <col min="2319" max="2560" width="9.140625" style="28"/>
    <col min="2561" max="2561" width="25" style="28" customWidth="1"/>
    <col min="2562" max="2574" width="10" style="28" customWidth="1"/>
    <col min="2575" max="2816" width="9.140625" style="28"/>
    <col min="2817" max="2817" width="25" style="28" customWidth="1"/>
    <col min="2818" max="2830" width="10" style="28" customWidth="1"/>
    <col min="2831" max="3072" width="9.140625" style="28"/>
    <col min="3073" max="3073" width="25" style="28" customWidth="1"/>
    <col min="3074" max="3086" width="10" style="28" customWidth="1"/>
    <col min="3087" max="3328" width="9.140625" style="28"/>
    <col min="3329" max="3329" width="25" style="28" customWidth="1"/>
    <col min="3330" max="3342" width="10" style="28" customWidth="1"/>
    <col min="3343" max="3584" width="9.140625" style="28"/>
    <col min="3585" max="3585" width="25" style="28" customWidth="1"/>
    <col min="3586" max="3598" width="10" style="28" customWidth="1"/>
    <col min="3599" max="3840" width="9.140625" style="28"/>
    <col min="3841" max="3841" width="25" style="28" customWidth="1"/>
    <col min="3842" max="3854" width="10" style="28" customWidth="1"/>
    <col min="3855" max="4096" width="9.140625" style="28"/>
    <col min="4097" max="4097" width="25" style="28" customWidth="1"/>
    <col min="4098" max="4110" width="10" style="28" customWidth="1"/>
    <col min="4111" max="4352" width="9.140625" style="28"/>
    <col min="4353" max="4353" width="25" style="28" customWidth="1"/>
    <col min="4354" max="4366" width="10" style="28" customWidth="1"/>
    <col min="4367" max="4608" width="9.140625" style="28"/>
    <col min="4609" max="4609" width="25" style="28" customWidth="1"/>
    <col min="4610" max="4622" width="10" style="28" customWidth="1"/>
    <col min="4623" max="4864" width="9.140625" style="28"/>
    <col min="4865" max="4865" width="25" style="28" customWidth="1"/>
    <col min="4866" max="4878" width="10" style="28" customWidth="1"/>
    <col min="4879" max="5120" width="9.140625" style="28"/>
    <col min="5121" max="5121" width="25" style="28" customWidth="1"/>
    <col min="5122" max="5134" width="10" style="28" customWidth="1"/>
    <col min="5135" max="5376" width="9.140625" style="28"/>
    <col min="5377" max="5377" width="25" style="28" customWidth="1"/>
    <col min="5378" max="5390" width="10" style="28" customWidth="1"/>
    <col min="5391" max="5632" width="9.140625" style="28"/>
    <col min="5633" max="5633" width="25" style="28" customWidth="1"/>
    <col min="5634" max="5646" width="10" style="28" customWidth="1"/>
    <col min="5647" max="5888" width="9.140625" style="28"/>
    <col min="5889" max="5889" width="25" style="28" customWidth="1"/>
    <col min="5890" max="5902" width="10" style="28" customWidth="1"/>
    <col min="5903" max="6144" width="9.140625" style="28"/>
    <col min="6145" max="6145" width="25" style="28" customWidth="1"/>
    <col min="6146" max="6158" width="10" style="28" customWidth="1"/>
    <col min="6159" max="6400" width="9.140625" style="28"/>
    <col min="6401" max="6401" width="25" style="28" customWidth="1"/>
    <col min="6402" max="6414" width="10" style="28" customWidth="1"/>
    <col min="6415" max="6656" width="9.140625" style="28"/>
    <col min="6657" max="6657" width="25" style="28" customWidth="1"/>
    <col min="6658" max="6670" width="10" style="28" customWidth="1"/>
    <col min="6671" max="6912" width="9.140625" style="28"/>
    <col min="6913" max="6913" width="25" style="28" customWidth="1"/>
    <col min="6914" max="6926" width="10" style="28" customWidth="1"/>
    <col min="6927" max="7168" width="9.140625" style="28"/>
    <col min="7169" max="7169" width="25" style="28" customWidth="1"/>
    <col min="7170" max="7182" width="10" style="28" customWidth="1"/>
    <col min="7183" max="7424" width="9.140625" style="28"/>
    <col min="7425" max="7425" width="25" style="28" customWidth="1"/>
    <col min="7426" max="7438" width="10" style="28" customWidth="1"/>
    <col min="7439" max="7680" width="9.140625" style="28"/>
    <col min="7681" max="7681" width="25" style="28" customWidth="1"/>
    <col min="7682" max="7694" width="10" style="28" customWidth="1"/>
    <col min="7695" max="7936" width="9.140625" style="28"/>
    <col min="7937" max="7937" width="25" style="28" customWidth="1"/>
    <col min="7938" max="7950" width="10" style="28" customWidth="1"/>
    <col min="7951" max="8192" width="9.140625" style="28"/>
    <col min="8193" max="8193" width="25" style="28" customWidth="1"/>
    <col min="8194" max="8206" width="10" style="28" customWidth="1"/>
    <col min="8207" max="8448" width="9.140625" style="28"/>
    <col min="8449" max="8449" width="25" style="28" customWidth="1"/>
    <col min="8450" max="8462" width="10" style="28" customWidth="1"/>
    <col min="8463" max="8704" width="9.140625" style="28"/>
    <col min="8705" max="8705" width="25" style="28" customWidth="1"/>
    <col min="8706" max="8718" width="10" style="28" customWidth="1"/>
    <col min="8719" max="8960" width="9.140625" style="28"/>
    <col min="8961" max="8961" width="25" style="28" customWidth="1"/>
    <col min="8962" max="8974" width="10" style="28" customWidth="1"/>
    <col min="8975" max="9216" width="9.140625" style="28"/>
    <col min="9217" max="9217" width="25" style="28" customWidth="1"/>
    <col min="9218" max="9230" width="10" style="28" customWidth="1"/>
    <col min="9231" max="9472" width="9.140625" style="28"/>
    <col min="9473" max="9473" width="25" style="28" customWidth="1"/>
    <col min="9474" max="9486" width="10" style="28" customWidth="1"/>
    <col min="9487" max="9728" width="9.140625" style="28"/>
    <col min="9729" max="9729" width="25" style="28" customWidth="1"/>
    <col min="9730" max="9742" width="10" style="28" customWidth="1"/>
    <col min="9743" max="9984" width="9.140625" style="28"/>
    <col min="9985" max="9985" width="25" style="28" customWidth="1"/>
    <col min="9986" max="9998" width="10" style="28" customWidth="1"/>
    <col min="9999" max="10240" width="9.140625" style="28"/>
    <col min="10241" max="10241" width="25" style="28" customWidth="1"/>
    <col min="10242" max="10254" width="10" style="28" customWidth="1"/>
    <col min="10255" max="10496" width="9.140625" style="28"/>
    <col min="10497" max="10497" width="25" style="28" customWidth="1"/>
    <col min="10498" max="10510" width="10" style="28" customWidth="1"/>
    <col min="10511" max="10752" width="9.140625" style="28"/>
    <col min="10753" max="10753" width="25" style="28" customWidth="1"/>
    <col min="10754" max="10766" width="10" style="28" customWidth="1"/>
    <col min="10767" max="11008" width="9.140625" style="28"/>
    <col min="11009" max="11009" width="25" style="28" customWidth="1"/>
    <col min="11010" max="11022" width="10" style="28" customWidth="1"/>
    <col min="11023" max="11264" width="9.140625" style="28"/>
    <col min="11265" max="11265" width="25" style="28" customWidth="1"/>
    <col min="11266" max="11278" width="10" style="28" customWidth="1"/>
    <col min="11279" max="11520" width="9.140625" style="28"/>
    <col min="11521" max="11521" width="25" style="28" customWidth="1"/>
    <col min="11522" max="11534" width="10" style="28" customWidth="1"/>
    <col min="11535" max="11776" width="9.140625" style="28"/>
    <col min="11777" max="11777" width="25" style="28" customWidth="1"/>
    <col min="11778" max="11790" width="10" style="28" customWidth="1"/>
    <col min="11791" max="12032" width="9.140625" style="28"/>
    <col min="12033" max="12033" width="25" style="28" customWidth="1"/>
    <col min="12034" max="12046" width="10" style="28" customWidth="1"/>
    <col min="12047" max="12288" width="9.140625" style="28"/>
    <col min="12289" max="12289" width="25" style="28" customWidth="1"/>
    <col min="12290" max="12302" width="10" style="28" customWidth="1"/>
    <col min="12303" max="12544" width="9.140625" style="28"/>
    <col min="12545" max="12545" width="25" style="28" customWidth="1"/>
    <col min="12546" max="12558" width="10" style="28" customWidth="1"/>
    <col min="12559" max="12800" width="9.140625" style="28"/>
    <col min="12801" max="12801" width="25" style="28" customWidth="1"/>
    <col min="12802" max="12814" width="10" style="28" customWidth="1"/>
    <col min="12815" max="13056" width="9.140625" style="28"/>
    <col min="13057" max="13057" width="25" style="28" customWidth="1"/>
    <col min="13058" max="13070" width="10" style="28" customWidth="1"/>
    <col min="13071" max="13312" width="9.140625" style="28"/>
    <col min="13313" max="13313" width="25" style="28" customWidth="1"/>
    <col min="13314" max="13326" width="10" style="28" customWidth="1"/>
    <col min="13327" max="13568" width="9.140625" style="28"/>
    <col min="13569" max="13569" width="25" style="28" customWidth="1"/>
    <col min="13570" max="13582" width="10" style="28" customWidth="1"/>
    <col min="13583" max="13824" width="9.140625" style="28"/>
    <col min="13825" max="13825" width="25" style="28" customWidth="1"/>
    <col min="13826" max="13838" width="10" style="28" customWidth="1"/>
    <col min="13839" max="14080" width="9.140625" style="28"/>
    <col min="14081" max="14081" width="25" style="28" customWidth="1"/>
    <col min="14082" max="14094" width="10" style="28" customWidth="1"/>
    <col min="14095" max="14336" width="9.140625" style="28"/>
    <col min="14337" max="14337" width="25" style="28" customWidth="1"/>
    <col min="14338" max="14350" width="10" style="28" customWidth="1"/>
    <col min="14351" max="14592" width="9.140625" style="28"/>
    <col min="14593" max="14593" width="25" style="28" customWidth="1"/>
    <col min="14594" max="14606" width="10" style="28" customWidth="1"/>
    <col min="14607" max="14848" width="9.140625" style="28"/>
    <col min="14849" max="14849" width="25" style="28" customWidth="1"/>
    <col min="14850" max="14862" width="10" style="28" customWidth="1"/>
    <col min="14863" max="15104" width="9.140625" style="28"/>
    <col min="15105" max="15105" width="25" style="28" customWidth="1"/>
    <col min="15106" max="15118" width="10" style="28" customWidth="1"/>
    <col min="15119" max="15360" width="9.140625" style="28"/>
    <col min="15361" max="15361" width="25" style="28" customWidth="1"/>
    <col min="15362" max="15374" width="10" style="28" customWidth="1"/>
    <col min="15375" max="15616" width="9.140625" style="28"/>
    <col min="15617" max="15617" width="25" style="28" customWidth="1"/>
    <col min="15618" max="15630" width="10" style="28" customWidth="1"/>
    <col min="15631" max="15872" width="9.140625" style="28"/>
    <col min="15873" max="15873" width="25" style="28" customWidth="1"/>
    <col min="15874" max="15886" width="10" style="28" customWidth="1"/>
    <col min="15887" max="16128" width="9.140625" style="28"/>
    <col min="16129" max="16129" width="25" style="28" customWidth="1"/>
    <col min="16130" max="16142" width="10" style="28" customWidth="1"/>
    <col min="16143" max="16384" width="9.140625" style="28"/>
  </cols>
  <sheetData>
    <row r="1" spans="1:14" x14ac:dyDescent="0.25">
      <c r="A1" s="77"/>
      <c r="B1" s="77"/>
      <c r="C1" s="77"/>
      <c r="D1" s="77"/>
      <c r="E1" s="77"/>
      <c r="F1" s="77"/>
      <c r="G1" s="77"/>
      <c r="H1" s="77"/>
      <c r="I1" s="77"/>
      <c r="J1" s="77"/>
      <c r="K1" s="77"/>
      <c r="L1" s="77"/>
      <c r="M1" s="77"/>
      <c r="N1" s="77"/>
    </row>
    <row r="2" spans="1:14" x14ac:dyDescent="0.25">
      <c r="A2" s="28" t="s">
        <v>0</v>
      </c>
      <c r="B2" s="28">
        <v>2018</v>
      </c>
      <c r="C2" s="28">
        <v>2017</v>
      </c>
      <c r="D2" s="28">
        <v>2016</v>
      </c>
      <c r="E2" s="28">
        <v>2015</v>
      </c>
      <c r="F2" s="28">
        <v>2014</v>
      </c>
      <c r="G2" s="28">
        <v>2013</v>
      </c>
      <c r="H2" s="28">
        <v>2012</v>
      </c>
      <c r="I2" s="28">
        <v>2011</v>
      </c>
      <c r="J2" s="28">
        <v>2010</v>
      </c>
      <c r="K2" s="28">
        <v>2009</v>
      </c>
      <c r="L2" s="28">
        <v>2008</v>
      </c>
      <c r="M2" s="28">
        <v>2007</v>
      </c>
      <c r="N2" s="28">
        <v>2006</v>
      </c>
    </row>
    <row r="3" spans="1:14" x14ac:dyDescent="0.25">
      <c r="A3" s="68" t="s">
        <v>133</v>
      </c>
      <c r="B3" s="68" t="s">
        <v>134</v>
      </c>
      <c r="C3" s="68" t="s">
        <v>135</v>
      </c>
      <c r="D3" s="68" t="s">
        <v>136</v>
      </c>
      <c r="E3" s="68" t="s">
        <v>137</v>
      </c>
      <c r="F3" s="68" t="s">
        <v>138</v>
      </c>
      <c r="G3" s="68" t="s">
        <v>139</v>
      </c>
      <c r="H3" s="68"/>
      <c r="I3" s="68"/>
      <c r="J3" s="68"/>
      <c r="K3" s="68"/>
      <c r="L3" s="68"/>
      <c r="M3" s="68"/>
      <c r="N3" s="68"/>
    </row>
    <row r="4" spans="1:14" x14ac:dyDescent="0.25">
      <c r="A4" s="68" t="s">
        <v>140</v>
      </c>
      <c r="B4" s="68" t="s">
        <v>141</v>
      </c>
      <c r="C4" s="68" t="s">
        <v>142</v>
      </c>
      <c r="D4" s="68" t="s">
        <v>143</v>
      </c>
      <c r="E4" s="68" t="s">
        <v>144</v>
      </c>
      <c r="F4" s="68" t="s">
        <v>145</v>
      </c>
      <c r="G4" s="68" t="s">
        <v>146</v>
      </c>
      <c r="H4" s="68" t="s">
        <v>147</v>
      </c>
      <c r="I4" s="68" t="s">
        <v>148</v>
      </c>
      <c r="J4" s="68" t="s">
        <v>149</v>
      </c>
      <c r="K4" s="68" t="s">
        <v>150</v>
      </c>
      <c r="L4" s="68" t="s">
        <v>151</v>
      </c>
      <c r="M4" s="68" t="s">
        <v>152</v>
      </c>
      <c r="N4" s="68"/>
    </row>
    <row r="5" spans="1:14" x14ac:dyDescent="0.25">
      <c r="A5" s="68" t="s">
        <v>153</v>
      </c>
      <c r="B5" s="68" t="s">
        <v>154</v>
      </c>
      <c r="C5" s="68" t="s">
        <v>155</v>
      </c>
      <c r="D5" s="68" t="s">
        <v>156</v>
      </c>
      <c r="E5" s="68" t="s">
        <v>157</v>
      </c>
      <c r="F5" s="68" t="s">
        <v>158</v>
      </c>
      <c r="G5" s="68" t="s">
        <v>159</v>
      </c>
      <c r="H5" s="68" t="s">
        <v>160</v>
      </c>
      <c r="I5" s="68" t="s">
        <v>161</v>
      </c>
      <c r="J5" s="68" t="s">
        <v>162</v>
      </c>
      <c r="K5" s="68" t="s">
        <v>163</v>
      </c>
      <c r="L5" s="68" t="s">
        <v>164</v>
      </c>
      <c r="M5" s="68" t="s">
        <v>165</v>
      </c>
      <c r="N5" s="68"/>
    </row>
    <row r="6" spans="1:14" x14ac:dyDescent="0.25">
      <c r="A6" s="68" t="s">
        <v>166</v>
      </c>
      <c r="B6" s="68" t="s">
        <v>167</v>
      </c>
      <c r="C6" s="68" t="s">
        <v>168</v>
      </c>
      <c r="D6" s="68" t="s">
        <v>169</v>
      </c>
      <c r="E6" s="68" t="s">
        <v>170</v>
      </c>
      <c r="F6" s="68" t="s">
        <v>171</v>
      </c>
      <c r="G6" s="68" t="s">
        <v>172</v>
      </c>
      <c r="H6" s="68" t="s">
        <v>173</v>
      </c>
      <c r="I6" s="68" t="s">
        <v>174</v>
      </c>
      <c r="J6" s="68" t="s">
        <v>175</v>
      </c>
      <c r="K6" s="68" t="s">
        <v>176</v>
      </c>
      <c r="L6" s="68" t="s">
        <v>177</v>
      </c>
      <c r="M6" s="68" t="s">
        <v>178</v>
      </c>
      <c r="N6" s="68"/>
    </row>
  </sheetData>
  <mergeCells count="1">
    <mergeCell ref="A1:N1"/>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72"/>
  <sheetViews>
    <sheetView workbookViewId="0">
      <selection sqref="A1:XFD1048576"/>
    </sheetView>
  </sheetViews>
  <sheetFormatPr defaultRowHeight="15" x14ac:dyDescent="0.25"/>
  <cols>
    <col min="1" max="1" width="25" style="28" customWidth="1"/>
    <col min="2" max="14" width="10" style="28" customWidth="1"/>
    <col min="15" max="256" width="9.140625" style="28"/>
    <col min="257" max="257" width="25" style="28" customWidth="1"/>
    <col min="258" max="270" width="10" style="28" customWidth="1"/>
    <col min="271" max="512" width="9.140625" style="28"/>
    <col min="513" max="513" width="25" style="28" customWidth="1"/>
    <col min="514" max="526" width="10" style="28" customWidth="1"/>
    <col min="527" max="768" width="9.140625" style="28"/>
    <col min="769" max="769" width="25" style="28" customWidth="1"/>
    <col min="770" max="782" width="10" style="28" customWidth="1"/>
    <col min="783" max="1024" width="9.140625" style="28"/>
    <col min="1025" max="1025" width="25" style="28" customWidth="1"/>
    <col min="1026" max="1038" width="10" style="28" customWidth="1"/>
    <col min="1039" max="1280" width="9.140625" style="28"/>
    <col min="1281" max="1281" width="25" style="28" customWidth="1"/>
    <col min="1282" max="1294" width="10" style="28" customWidth="1"/>
    <col min="1295" max="1536" width="9.140625" style="28"/>
    <col min="1537" max="1537" width="25" style="28" customWidth="1"/>
    <col min="1538" max="1550" width="10" style="28" customWidth="1"/>
    <col min="1551" max="1792" width="9.140625" style="28"/>
    <col min="1793" max="1793" width="25" style="28" customWidth="1"/>
    <col min="1794" max="1806" width="10" style="28" customWidth="1"/>
    <col min="1807" max="2048" width="9.140625" style="28"/>
    <col min="2049" max="2049" width="25" style="28" customWidth="1"/>
    <col min="2050" max="2062" width="10" style="28" customWidth="1"/>
    <col min="2063" max="2304" width="9.140625" style="28"/>
    <col min="2305" max="2305" width="25" style="28" customWidth="1"/>
    <col min="2306" max="2318" width="10" style="28" customWidth="1"/>
    <col min="2319" max="2560" width="9.140625" style="28"/>
    <col min="2561" max="2561" width="25" style="28" customWidth="1"/>
    <col min="2562" max="2574" width="10" style="28" customWidth="1"/>
    <col min="2575" max="2816" width="9.140625" style="28"/>
    <col min="2817" max="2817" width="25" style="28" customWidth="1"/>
    <col min="2818" max="2830" width="10" style="28" customWidth="1"/>
    <col min="2831" max="3072" width="9.140625" style="28"/>
    <col min="3073" max="3073" width="25" style="28" customWidth="1"/>
    <col min="3074" max="3086" width="10" style="28" customWidth="1"/>
    <col min="3087" max="3328" width="9.140625" style="28"/>
    <col min="3329" max="3329" width="25" style="28" customWidth="1"/>
    <col min="3330" max="3342" width="10" style="28" customWidth="1"/>
    <col min="3343" max="3584" width="9.140625" style="28"/>
    <col min="3585" max="3585" width="25" style="28" customWidth="1"/>
    <col min="3586" max="3598" width="10" style="28" customWidth="1"/>
    <col min="3599" max="3840" width="9.140625" style="28"/>
    <col min="3841" max="3841" width="25" style="28" customWidth="1"/>
    <col min="3842" max="3854" width="10" style="28" customWidth="1"/>
    <col min="3855" max="4096" width="9.140625" style="28"/>
    <col min="4097" max="4097" width="25" style="28" customWidth="1"/>
    <col min="4098" max="4110" width="10" style="28" customWidth="1"/>
    <col min="4111" max="4352" width="9.140625" style="28"/>
    <col min="4353" max="4353" width="25" style="28" customWidth="1"/>
    <col min="4354" max="4366" width="10" style="28" customWidth="1"/>
    <col min="4367" max="4608" width="9.140625" style="28"/>
    <col min="4609" max="4609" width="25" style="28" customWidth="1"/>
    <col min="4610" max="4622" width="10" style="28" customWidth="1"/>
    <col min="4623" max="4864" width="9.140625" style="28"/>
    <col min="4865" max="4865" width="25" style="28" customWidth="1"/>
    <col min="4866" max="4878" width="10" style="28" customWidth="1"/>
    <col min="4879" max="5120" width="9.140625" style="28"/>
    <col min="5121" max="5121" width="25" style="28" customWidth="1"/>
    <col min="5122" max="5134" width="10" style="28" customWidth="1"/>
    <col min="5135" max="5376" width="9.140625" style="28"/>
    <col min="5377" max="5377" width="25" style="28" customWidth="1"/>
    <col min="5378" max="5390" width="10" style="28" customWidth="1"/>
    <col min="5391" max="5632" width="9.140625" style="28"/>
    <col min="5633" max="5633" width="25" style="28" customWidth="1"/>
    <col min="5634" max="5646" width="10" style="28" customWidth="1"/>
    <col min="5647" max="5888" width="9.140625" style="28"/>
    <col min="5889" max="5889" width="25" style="28" customWidth="1"/>
    <col min="5890" max="5902" width="10" style="28" customWidth="1"/>
    <col min="5903" max="6144" width="9.140625" style="28"/>
    <col min="6145" max="6145" width="25" style="28" customWidth="1"/>
    <col min="6146" max="6158" width="10" style="28" customWidth="1"/>
    <col min="6159" max="6400" width="9.140625" style="28"/>
    <col min="6401" max="6401" width="25" style="28" customWidth="1"/>
    <col min="6402" max="6414" width="10" style="28" customWidth="1"/>
    <col min="6415" max="6656" width="9.140625" style="28"/>
    <col min="6657" max="6657" width="25" style="28" customWidth="1"/>
    <col min="6658" max="6670" width="10" style="28" customWidth="1"/>
    <col min="6671" max="6912" width="9.140625" style="28"/>
    <col min="6913" max="6913" width="25" style="28" customWidth="1"/>
    <col min="6914" max="6926" width="10" style="28" customWidth="1"/>
    <col min="6927" max="7168" width="9.140625" style="28"/>
    <col min="7169" max="7169" width="25" style="28" customWidth="1"/>
    <col min="7170" max="7182" width="10" style="28" customWidth="1"/>
    <col min="7183" max="7424" width="9.140625" style="28"/>
    <col min="7425" max="7425" width="25" style="28" customWidth="1"/>
    <col min="7426" max="7438" width="10" style="28" customWidth="1"/>
    <col min="7439" max="7680" width="9.140625" style="28"/>
    <col min="7681" max="7681" width="25" style="28" customWidth="1"/>
    <col min="7682" max="7694" width="10" style="28" customWidth="1"/>
    <col min="7695" max="7936" width="9.140625" style="28"/>
    <col min="7937" max="7937" width="25" style="28" customWidth="1"/>
    <col min="7938" max="7950" width="10" style="28" customWidth="1"/>
    <col min="7951" max="8192" width="9.140625" style="28"/>
    <col min="8193" max="8193" width="25" style="28" customWidth="1"/>
    <col min="8194" max="8206" width="10" style="28" customWidth="1"/>
    <col min="8207" max="8448" width="9.140625" style="28"/>
    <col min="8449" max="8449" width="25" style="28" customWidth="1"/>
    <col min="8450" max="8462" width="10" style="28" customWidth="1"/>
    <col min="8463" max="8704" width="9.140625" style="28"/>
    <col min="8705" max="8705" width="25" style="28" customWidth="1"/>
    <col min="8706" max="8718" width="10" style="28" customWidth="1"/>
    <col min="8719" max="8960" width="9.140625" style="28"/>
    <col min="8961" max="8961" width="25" style="28" customWidth="1"/>
    <col min="8962" max="8974" width="10" style="28" customWidth="1"/>
    <col min="8975" max="9216" width="9.140625" style="28"/>
    <col min="9217" max="9217" width="25" style="28" customWidth="1"/>
    <col min="9218" max="9230" width="10" style="28" customWidth="1"/>
    <col min="9231" max="9472" width="9.140625" style="28"/>
    <col min="9473" max="9473" width="25" style="28" customWidth="1"/>
    <col min="9474" max="9486" width="10" style="28" customWidth="1"/>
    <col min="9487" max="9728" width="9.140625" style="28"/>
    <col min="9729" max="9729" width="25" style="28" customWidth="1"/>
    <col min="9730" max="9742" width="10" style="28" customWidth="1"/>
    <col min="9743" max="9984" width="9.140625" style="28"/>
    <col min="9985" max="9985" width="25" style="28" customWidth="1"/>
    <col min="9986" max="9998" width="10" style="28" customWidth="1"/>
    <col min="9999" max="10240" width="9.140625" style="28"/>
    <col min="10241" max="10241" width="25" style="28" customWidth="1"/>
    <col min="10242" max="10254" width="10" style="28" customWidth="1"/>
    <col min="10255" max="10496" width="9.140625" style="28"/>
    <col min="10497" max="10497" width="25" style="28" customWidth="1"/>
    <col min="10498" max="10510" width="10" style="28" customWidth="1"/>
    <col min="10511" max="10752" width="9.140625" style="28"/>
    <col min="10753" max="10753" width="25" style="28" customWidth="1"/>
    <col min="10754" max="10766" width="10" style="28" customWidth="1"/>
    <col min="10767" max="11008" width="9.140625" style="28"/>
    <col min="11009" max="11009" width="25" style="28" customWidth="1"/>
    <col min="11010" max="11022" width="10" style="28" customWidth="1"/>
    <col min="11023" max="11264" width="9.140625" style="28"/>
    <col min="11265" max="11265" width="25" style="28" customWidth="1"/>
    <col min="11266" max="11278" width="10" style="28" customWidth="1"/>
    <col min="11279" max="11520" width="9.140625" style="28"/>
    <col min="11521" max="11521" width="25" style="28" customWidth="1"/>
    <col min="11522" max="11534" width="10" style="28" customWidth="1"/>
    <col min="11535" max="11776" width="9.140625" style="28"/>
    <col min="11777" max="11777" width="25" style="28" customWidth="1"/>
    <col min="11778" max="11790" width="10" style="28" customWidth="1"/>
    <col min="11791" max="12032" width="9.140625" style="28"/>
    <col min="12033" max="12033" width="25" style="28" customWidth="1"/>
    <col min="12034" max="12046" width="10" style="28" customWidth="1"/>
    <col min="12047" max="12288" width="9.140625" style="28"/>
    <col min="12289" max="12289" width="25" style="28" customWidth="1"/>
    <col min="12290" max="12302" width="10" style="28" customWidth="1"/>
    <col min="12303" max="12544" width="9.140625" style="28"/>
    <col min="12545" max="12545" width="25" style="28" customWidth="1"/>
    <col min="12546" max="12558" width="10" style="28" customWidth="1"/>
    <col min="12559" max="12800" width="9.140625" style="28"/>
    <col min="12801" max="12801" width="25" style="28" customWidth="1"/>
    <col min="12802" max="12814" width="10" style="28" customWidth="1"/>
    <col min="12815" max="13056" width="9.140625" style="28"/>
    <col min="13057" max="13057" width="25" style="28" customWidth="1"/>
    <col min="13058" max="13070" width="10" style="28" customWidth="1"/>
    <col min="13071" max="13312" width="9.140625" style="28"/>
    <col min="13313" max="13313" width="25" style="28" customWidth="1"/>
    <col min="13314" max="13326" width="10" style="28" customWidth="1"/>
    <col min="13327" max="13568" width="9.140625" style="28"/>
    <col min="13569" max="13569" width="25" style="28" customWidth="1"/>
    <col min="13570" max="13582" width="10" style="28" customWidth="1"/>
    <col min="13583" max="13824" width="9.140625" style="28"/>
    <col min="13825" max="13825" width="25" style="28" customWidth="1"/>
    <col min="13826" max="13838" width="10" style="28" customWidth="1"/>
    <col min="13839" max="14080" width="9.140625" style="28"/>
    <col min="14081" max="14081" width="25" style="28" customWidth="1"/>
    <col min="14082" max="14094" width="10" style="28" customWidth="1"/>
    <col min="14095" max="14336" width="9.140625" style="28"/>
    <col min="14337" max="14337" width="25" style="28" customWidth="1"/>
    <col min="14338" max="14350" width="10" style="28" customWidth="1"/>
    <col min="14351" max="14592" width="9.140625" style="28"/>
    <col min="14593" max="14593" width="25" style="28" customWidth="1"/>
    <col min="14594" max="14606" width="10" style="28" customWidth="1"/>
    <col min="14607" max="14848" width="9.140625" style="28"/>
    <col min="14849" max="14849" width="25" style="28" customWidth="1"/>
    <col min="14850" max="14862" width="10" style="28" customWidth="1"/>
    <col min="14863" max="15104" width="9.140625" style="28"/>
    <col min="15105" max="15105" width="25" style="28" customWidth="1"/>
    <col min="15106" max="15118" width="10" style="28" customWidth="1"/>
    <col min="15119" max="15360" width="9.140625" style="28"/>
    <col min="15361" max="15361" width="25" style="28" customWidth="1"/>
    <col min="15362" max="15374" width="10" style="28" customWidth="1"/>
    <col min="15375" max="15616" width="9.140625" style="28"/>
    <col min="15617" max="15617" width="25" style="28" customWidth="1"/>
    <col min="15618" max="15630" width="10" style="28" customWidth="1"/>
    <col min="15631" max="15872" width="9.140625" style="28"/>
    <col min="15873" max="15873" width="25" style="28" customWidth="1"/>
    <col min="15874" max="15886" width="10" style="28" customWidth="1"/>
    <col min="15887" max="16128" width="9.140625" style="28"/>
    <col min="16129" max="16129" width="25" style="28" customWidth="1"/>
    <col min="16130" max="16142" width="10" style="28" customWidth="1"/>
    <col min="16143" max="16384" width="9.140625" style="28"/>
  </cols>
  <sheetData>
    <row r="1" spans="1:14" x14ac:dyDescent="0.25">
      <c r="A1" s="77"/>
      <c r="B1" s="77"/>
      <c r="C1" s="77"/>
      <c r="D1" s="77"/>
      <c r="E1" s="77"/>
      <c r="F1" s="77"/>
      <c r="G1" s="77"/>
      <c r="H1" s="77"/>
      <c r="I1" s="77"/>
      <c r="J1" s="77"/>
      <c r="K1" s="77"/>
      <c r="L1" s="77"/>
      <c r="M1" s="77"/>
      <c r="N1" s="77"/>
    </row>
    <row r="2" spans="1:14" x14ac:dyDescent="0.25">
      <c r="A2" s="28" t="s">
        <v>0</v>
      </c>
      <c r="B2" s="28">
        <v>2018</v>
      </c>
      <c r="C2" s="28">
        <v>2017</v>
      </c>
      <c r="D2" s="28">
        <v>2016</v>
      </c>
      <c r="E2" s="28">
        <v>2015</v>
      </c>
      <c r="F2" s="28">
        <v>2014</v>
      </c>
      <c r="G2" s="28">
        <v>2013</v>
      </c>
      <c r="H2" s="28">
        <v>2012</v>
      </c>
      <c r="I2" s="28">
        <v>2011</v>
      </c>
      <c r="J2" s="28">
        <v>2010</v>
      </c>
      <c r="K2" s="28">
        <v>2009</v>
      </c>
      <c r="L2" s="28">
        <v>2008</v>
      </c>
      <c r="M2" s="28">
        <v>2007</v>
      </c>
      <c r="N2" s="28">
        <v>2006</v>
      </c>
    </row>
    <row r="3" spans="1:14" x14ac:dyDescent="0.25">
      <c r="A3" s="68" t="s">
        <v>179</v>
      </c>
      <c r="B3" s="68"/>
      <c r="C3" s="68"/>
      <c r="D3" s="68"/>
      <c r="E3" s="68"/>
      <c r="F3" s="68"/>
      <c r="G3" s="68"/>
      <c r="H3" s="68"/>
      <c r="I3" s="68"/>
      <c r="J3" s="68"/>
      <c r="K3" s="68"/>
      <c r="L3" s="68"/>
      <c r="M3" s="68"/>
      <c r="N3" s="68"/>
    </row>
    <row r="4" spans="1:14" x14ac:dyDescent="0.25">
      <c r="A4" s="68" t="s">
        <v>180</v>
      </c>
      <c r="B4" s="68">
        <v>27888280000</v>
      </c>
      <c r="C4" s="68">
        <v>48274200000</v>
      </c>
      <c r="D4" s="68">
        <v>27169118000</v>
      </c>
      <c r="E4" s="68">
        <v>11861977000</v>
      </c>
      <c r="F4" s="68">
        <v>6203283000</v>
      </c>
      <c r="G4" s="68">
        <v>15573683000</v>
      </c>
      <c r="H4" s="68">
        <v>13435509100</v>
      </c>
      <c r="I4" s="68">
        <v>12746253400</v>
      </c>
      <c r="J4" s="68">
        <v>9405374600</v>
      </c>
      <c r="K4" s="68">
        <v>6371411300</v>
      </c>
      <c r="L4" s="68">
        <v>4645146400</v>
      </c>
      <c r="M4" s="68">
        <v>3223961599.9999995</v>
      </c>
      <c r="N4" s="68">
        <v>1737420200</v>
      </c>
    </row>
    <row r="5" spans="1:14" x14ac:dyDescent="0.25">
      <c r="A5" s="68" t="s">
        <v>181</v>
      </c>
      <c r="B5" s="68" t="s">
        <v>20</v>
      </c>
      <c r="C5" s="68" t="s">
        <v>20</v>
      </c>
      <c r="D5" s="68" t="s">
        <v>20</v>
      </c>
      <c r="E5" s="68" t="s">
        <v>20</v>
      </c>
      <c r="F5" s="68" t="s">
        <v>20</v>
      </c>
      <c r="G5" s="68" t="s">
        <v>20</v>
      </c>
      <c r="H5" s="68">
        <v>231549900.00000003</v>
      </c>
      <c r="I5" s="68">
        <v>195430800.00000003</v>
      </c>
      <c r="J5" s="68">
        <v>172223100</v>
      </c>
      <c r="K5" s="68">
        <v>388404200</v>
      </c>
      <c r="L5" s="68">
        <v>291021600</v>
      </c>
      <c r="M5" s="68">
        <v>157417700</v>
      </c>
      <c r="N5" s="68" t="s">
        <v>20</v>
      </c>
    </row>
    <row r="6" spans="1:14" ht="16.5" x14ac:dyDescent="0.3">
      <c r="A6" s="69" t="s">
        <v>332</v>
      </c>
      <c r="B6" s="68">
        <v>31946468000</v>
      </c>
      <c r="C6" s="68">
        <v>28382943000</v>
      </c>
      <c r="D6" s="68">
        <v>20881999000</v>
      </c>
      <c r="E6" s="68">
        <v>23260869000</v>
      </c>
      <c r="F6" s="68">
        <v>26459336000</v>
      </c>
      <c r="G6" s="68">
        <v>22078970500</v>
      </c>
      <c r="H6" s="68">
        <v>22250998400</v>
      </c>
      <c r="I6" s="68">
        <v>20169108700</v>
      </c>
      <c r="J6" s="68">
        <v>12465091500</v>
      </c>
      <c r="K6" s="68">
        <v>14548970700</v>
      </c>
      <c r="L6" s="68">
        <v>7133322700</v>
      </c>
      <c r="M6" s="68">
        <v>3806135900.0000005</v>
      </c>
      <c r="N6" s="68">
        <v>2982601200</v>
      </c>
    </row>
    <row r="7" spans="1:14" x14ac:dyDescent="0.25">
      <c r="A7" s="68" t="s">
        <v>2</v>
      </c>
      <c r="B7" s="68">
        <v>12556294000</v>
      </c>
      <c r="C7" s="68" t="s">
        <v>20</v>
      </c>
      <c r="D7" s="68">
        <v>7427488000</v>
      </c>
      <c r="E7" s="68">
        <v>12889151000</v>
      </c>
      <c r="F7" s="68">
        <v>17097233000</v>
      </c>
      <c r="G7" s="68">
        <v>14150532200</v>
      </c>
      <c r="H7" s="68">
        <v>12386424800</v>
      </c>
      <c r="I7" s="68">
        <v>10265945900</v>
      </c>
      <c r="J7" s="68">
        <v>5553988199.999999</v>
      </c>
      <c r="K7" s="68">
        <v>7621393700</v>
      </c>
      <c r="L7" s="68">
        <v>3086650400</v>
      </c>
      <c r="M7" s="68">
        <v>1523775300</v>
      </c>
      <c r="N7" s="68">
        <v>1011399900</v>
      </c>
    </row>
    <row r="8" spans="1:14" x14ac:dyDescent="0.25">
      <c r="A8" s="68" t="s">
        <v>182</v>
      </c>
      <c r="B8" s="68">
        <v>19390174000</v>
      </c>
      <c r="C8" s="68" t="s">
        <v>20</v>
      </c>
      <c r="D8" s="68">
        <v>13454511000</v>
      </c>
      <c r="E8" s="68">
        <v>10371718000</v>
      </c>
      <c r="F8" s="68">
        <v>9362103000</v>
      </c>
      <c r="G8" s="68">
        <v>7928438300</v>
      </c>
      <c r="H8" s="68">
        <v>9864573600</v>
      </c>
      <c r="I8" s="68">
        <v>9903162800</v>
      </c>
      <c r="J8" s="68">
        <v>6911103300</v>
      </c>
      <c r="K8" s="68">
        <v>6927577000</v>
      </c>
      <c r="L8" s="68">
        <v>4046672300</v>
      </c>
      <c r="M8" s="68">
        <v>2282360500</v>
      </c>
      <c r="N8" s="68">
        <v>1971201300</v>
      </c>
    </row>
    <row r="9" spans="1:14" x14ac:dyDescent="0.25">
      <c r="A9" s="68" t="s">
        <v>3</v>
      </c>
      <c r="B9" s="68">
        <v>2215888000</v>
      </c>
      <c r="C9" s="68">
        <v>1672248000</v>
      </c>
      <c r="D9" s="68">
        <v>1587366000</v>
      </c>
      <c r="E9" s="68">
        <v>988625000</v>
      </c>
      <c r="F9" s="68">
        <v>1414470000</v>
      </c>
      <c r="G9" s="68">
        <v>2432420500</v>
      </c>
      <c r="H9" s="68">
        <v>1802482200</v>
      </c>
      <c r="I9" s="68">
        <v>3067945900.0000005</v>
      </c>
      <c r="J9" s="68">
        <v>4705716600</v>
      </c>
      <c r="K9" s="68">
        <v>1869629200.0000002</v>
      </c>
      <c r="L9" s="68">
        <v>1268421800</v>
      </c>
      <c r="M9" s="68">
        <v>1084195300</v>
      </c>
      <c r="N9" s="68">
        <v>1146121300</v>
      </c>
    </row>
    <row r="10" spans="1:14" x14ac:dyDescent="0.25">
      <c r="A10" s="68" t="s">
        <v>34</v>
      </c>
      <c r="B10" s="68">
        <v>2971368000</v>
      </c>
      <c r="C10" s="68">
        <v>2809998000</v>
      </c>
      <c r="D10" s="68">
        <v>1140133000</v>
      </c>
      <c r="E10" s="68">
        <v>1101339000</v>
      </c>
      <c r="F10" s="68">
        <v>1226711000</v>
      </c>
      <c r="G10" s="68">
        <v>1051259000</v>
      </c>
      <c r="H10" s="68">
        <v>1121345600</v>
      </c>
      <c r="I10" s="68">
        <v>2509095800</v>
      </c>
      <c r="J10" s="68">
        <v>2268994100</v>
      </c>
      <c r="K10" s="68">
        <v>1348559000</v>
      </c>
      <c r="L10" s="68">
        <v>560132000</v>
      </c>
      <c r="M10" s="68">
        <v>380394400</v>
      </c>
      <c r="N10" s="68">
        <v>261849700</v>
      </c>
    </row>
    <row r="11" spans="1:14" x14ac:dyDescent="0.25">
      <c r="A11" s="68" t="s">
        <v>35</v>
      </c>
      <c r="B11" s="68" t="s">
        <v>20</v>
      </c>
      <c r="C11" s="68" t="s">
        <v>20</v>
      </c>
      <c r="D11" s="68">
        <v>1140133000</v>
      </c>
      <c r="E11" s="68">
        <v>1101339000</v>
      </c>
      <c r="F11" s="68">
        <v>1180768000</v>
      </c>
      <c r="G11" s="68">
        <v>1025395200</v>
      </c>
      <c r="H11" s="68">
        <v>1121345600</v>
      </c>
      <c r="I11" s="68">
        <v>2509095800</v>
      </c>
      <c r="J11" s="68">
        <v>2184248200</v>
      </c>
      <c r="K11" s="68">
        <v>1348559000</v>
      </c>
      <c r="L11" s="68">
        <v>558333100</v>
      </c>
      <c r="M11" s="68">
        <v>346027000</v>
      </c>
      <c r="N11" s="68">
        <v>261849700</v>
      </c>
    </row>
    <row r="12" spans="1:14" x14ac:dyDescent="0.25">
      <c r="A12" s="68" t="s">
        <v>4</v>
      </c>
      <c r="B12" s="68">
        <v>29645018000</v>
      </c>
      <c r="C12" s="68">
        <v>29444166000</v>
      </c>
      <c r="D12" s="68">
        <v>15626897000</v>
      </c>
      <c r="E12" s="68">
        <v>10448937000</v>
      </c>
      <c r="F12" s="68">
        <v>15020030000</v>
      </c>
      <c r="G12" s="68">
        <v>15197723799.999998</v>
      </c>
      <c r="H12" s="68">
        <v>13350000900</v>
      </c>
      <c r="I12" s="68">
        <v>16343296100.000002</v>
      </c>
      <c r="J12" s="68">
        <v>19749981200</v>
      </c>
      <c r="K12" s="68">
        <v>10536815600</v>
      </c>
      <c r="L12" s="68">
        <v>7245763400</v>
      </c>
      <c r="M12" s="68">
        <v>9468560800</v>
      </c>
      <c r="N12" s="68">
        <v>6197575100</v>
      </c>
    </row>
    <row r="13" spans="1:14" x14ac:dyDescent="0.25">
      <c r="A13" s="68" t="s">
        <v>183</v>
      </c>
      <c r="B13" s="68" t="s">
        <v>20</v>
      </c>
      <c r="C13" s="68" t="s">
        <v>20</v>
      </c>
      <c r="D13" s="68" t="s">
        <v>20</v>
      </c>
      <c r="E13" s="68" t="s">
        <v>20</v>
      </c>
      <c r="F13" s="68" t="s">
        <v>20</v>
      </c>
      <c r="G13" s="68" t="s">
        <v>20</v>
      </c>
      <c r="H13" s="68" t="s">
        <v>20</v>
      </c>
      <c r="I13" s="68" t="s">
        <v>20</v>
      </c>
      <c r="J13" s="68" t="s">
        <v>20</v>
      </c>
      <c r="K13" s="68" t="s">
        <v>20</v>
      </c>
      <c r="L13" s="68" t="s">
        <v>20</v>
      </c>
      <c r="M13" s="68" t="s">
        <v>20</v>
      </c>
      <c r="N13" s="68" t="s">
        <v>20</v>
      </c>
    </row>
    <row r="14" spans="1:14" x14ac:dyDescent="0.25">
      <c r="A14" s="68" t="s">
        <v>184</v>
      </c>
      <c r="B14" s="68">
        <v>76473827000</v>
      </c>
      <c r="C14" s="68">
        <v>46694841000</v>
      </c>
      <c r="D14" s="68">
        <v>43529597000</v>
      </c>
      <c r="E14" s="68">
        <v>33827580000</v>
      </c>
      <c r="F14" s="68">
        <v>26593892000</v>
      </c>
      <c r="G14" s="68">
        <v>463107699.99999994</v>
      </c>
      <c r="H14" s="68">
        <v>2129254900</v>
      </c>
      <c r="I14" s="68">
        <v>941459299.99999988</v>
      </c>
      <c r="J14" s="68">
        <v>432680500</v>
      </c>
      <c r="K14" s="68">
        <v>265548100</v>
      </c>
      <c r="L14" s="68">
        <v>257626000</v>
      </c>
      <c r="M14" s="68">
        <v>197672700</v>
      </c>
      <c r="N14" s="68" t="s">
        <v>20</v>
      </c>
    </row>
    <row r="15" spans="1:14" x14ac:dyDescent="0.25">
      <c r="A15" s="68" t="s">
        <v>185</v>
      </c>
      <c r="B15" s="68">
        <v>182689438000</v>
      </c>
      <c r="C15" s="68">
        <v>169810676000</v>
      </c>
      <c r="D15" s="68">
        <v>120621320000</v>
      </c>
      <c r="E15" s="68">
        <v>93367706000</v>
      </c>
      <c r="F15" s="68">
        <v>86427073000</v>
      </c>
      <c r="G15" s="68">
        <v>65326732000</v>
      </c>
      <c r="H15" s="68">
        <v>55562190800</v>
      </c>
      <c r="I15" s="68">
        <v>60046579300</v>
      </c>
      <c r="J15" s="68">
        <v>49200061800</v>
      </c>
      <c r="K15" s="68">
        <v>35329338100</v>
      </c>
      <c r="L15" s="68">
        <v>21401433800</v>
      </c>
      <c r="M15" s="68">
        <v>18318338400</v>
      </c>
      <c r="N15" s="68">
        <v>12456060100</v>
      </c>
    </row>
    <row r="16" spans="1:14" x14ac:dyDescent="0.25">
      <c r="A16" s="68" t="s">
        <v>186</v>
      </c>
      <c r="B16" s="68"/>
      <c r="C16" s="68"/>
      <c r="D16" s="68"/>
      <c r="E16" s="68"/>
      <c r="F16" s="68"/>
      <c r="G16" s="68"/>
      <c r="H16" s="68"/>
      <c r="I16" s="68"/>
      <c r="J16" s="68"/>
      <c r="K16" s="68"/>
      <c r="L16" s="68"/>
      <c r="M16" s="68"/>
      <c r="N16" s="68"/>
    </row>
    <row r="17" spans="1:14" x14ac:dyDescent="0.25">
      <c r="A17" s="68" t="s">
        <v>187</v>
      </c>
      <c r="B17" s="68">
        <v>1906878000</v>
      </c>
      <c r="C17" s="68">
        <v>1831051000</v>
      </c>
      <c r="D17" s="68">
        <v>5187732000</v>
      </c>
      <c r="E17" s="68">
        <v>3289954000</v>
      </c>
      <c r="F17" s="68">
        <v>1655495000</v>
      </c>
      <c r="G17" s="68">
        <v>844439100</v>
      </c>
      <c r="H17" s="68">
        <v>776300</v>
      </c>
      <c r="I17" s="68">
        <v>15808500</v>
      </c>
      <c r="J17" s="68">
        <v>1010699.9999999999</v>
      </c>
      <c r="K17" s="68">
        <v>1029400</v>
      </c>
      <c r="L17" s="68">
        <v>7487200</v>
      </c>
      <c r="M17" s="68">
        <v>976100</v>
      </c>
      <c r="N17" s="68" t="s">
        <v>20</v>
      </c>
    </row>
    <row r="18" spans="1:14" x14ac:dyDescent="0.25">
      <c r="A18" s="68" t="s">
        <v>188</v>
      </c>
      <c r="B18" s="68">
        <v>2713316000</v>
      </c>
      <c r="C18" s="68">
        <v>2633698000</v>
      </c>
      <c r="D18" s="68">
        <v>2211732000</v>
      </c>
      <c r="E18" s="68">
        <v>2888274000</v>
      </c>
      <c r="F18" s="68">
        <v>951874000</v>
      </c>
      <c r="G18" s="68">
        <v>912427600</v>
      </c>
      <c r="H18" s="68">
        <v>1709771700.0000002</v>
      </c>
      <c r="I18" s="68">
        <v>1767749600</v>
      </c>
      <c r="J18" s="68">
        <v>1766889500</v>
      </c>
      <c r="K18" s="68">
        <v>1711239300</v>
      </c>
      <c r="L18" s="68">
        <v>553533000</v>
      </c>
      <c r="M18" s="68">
        <v>330174800.00000006</v>
      </c>
      <c r="N18" s="68">
        <v>738382500</v>
      </c>
    </row>
    <row r="19" spans="1:14" x14ac:dyDescent="0.25">
      <c r="A19" s="68" t="s">
        <v>189</v>
      </c>
      <c r="B19" s="68">
        <v>391765000</v>
      </c>
      <c r="C19" s="68">
        <v>420802000</v>
      </c>
      <c r="D19" s="68">
        <v>494122000</v>
      </c>
      <c r="E19" s="68">
        <v>150803000</v>
      </c>
      <c r="F19" s="68">
        <v>171635000</v>
      </c>
      <c r="G19" s="68">
        <v>205834700</v>
      </c>
      <c r="H19" s="68">
        <v>84388000</v>
      </c>
      <c r="I19" s="68">
        <v>118449300</v>
      </c>
      <c r="J19" s="68">
        <v>535642400</v>
      </c>
      <c r="K19" s="68">
        <v>364920400</v>
      </c>
      <c r="L19" s="68">
        <v>415831700</v>
      </c>
      <c r="M19" s="68">
        <v>495141800</v>
      </c>
      <c r="N19" s="68" t="s">
        <v>20</v>
      </c>
    </row>
    <row r="20" spans="1:14" x14ac:dyDescent="0.25">
      <c r="A20" s="68" t="s">
        <v>190</v>
      </c>
      <c r="B20" s="68">
        <v>22437212000</v>
      </c>
      <c r="C20" s="68">
        <v>22600724000</v>
      </c>
      <c r="D20" s="68">
        <v>21056791000</v>
      </c>
      <c r="E20" s="68">
        <v>18729881000</v>
      </c>
      <c r="F20" s="68">
        <v>19521814000</v>
      </c>
      <c r="G20" s="68">
        <v>19572161300</v>
      </c>
      <c r="H20" s="68">
        <v>20252528900</v>
      </c>
      <c r="I20" s="68">
        <v>17507780400</v>
      </c>
      <c r="J20" s="68">
        <v>11862259900</v>
      </c>
      <c r="K20" s="68">
        <v>8599285700</v>
      </c>
      <c r="L20" s="68">
        <v>7543206500</v>
      </c>
      <c r="M20" s="68">
        <v>5288095400</v>
      </c>
      <c r="N20" s="68">
        <v>4731238600</v>
      </c>
    </row>
    <row r="21" spans="1:14" x14ac:dyDescent="0.25">
      <c r="A21" s="68" t="s">
        <v>191</v>
      </c>
      <c r="B21" s="68">
        <v>22437212000</v>
      </c>
      <c r="C21" s="68" t="s">
        <v>20</v>
      </c>
      <c r="D21" s="68">
        <v>21056791000</v>
      </c>
      <c r="E21" s="68">
        <v>18729881000</v>
      </c>
      <c r="F21" s="68">
        <v>19521814000</v>
      </c>
      <c r="G21" s="68">
        <v>19572161320</v>
      </c>
      <c r="H21" s="68">
        <v>20252528910</v>
      </c>
      <c r="I21" s="68">
        <v>17489931160</v>
      </c>
      <c r="J21" s="68">
        <v>11844415257.76</v>
      </c>
      <c r="K21" s="68">
        <v>8581441062.3900003</v>
      </c>
      <c r="L21" s="68">
        <v>7525361880.3500004</v>
      </c>
      <c r="M21" s="68">
        <v>5288095444.8599997</v>
      </c>
      <c r="N21" s="68">
        <v>4706689486.1300001</v>
      </c>
    </row>
    <row r="22" spans="1:14" x14ac:dyDescent="0.25">
      <c r="A22" s="68" t="s">
        <v>192</v>
      </c>
      <c r="B22" s="68" t="s">
        <v>20</v>
      </c>
      <c r="C22" s="68" t="s">
        <v>20</v>
      </c>
      <c r="D22" s="68" t="s">
        <v>20</v>
      </c>
      <c r="E22" s="68" t="s">
        <v>20</v>
      </c>
      <c r="F22" s="68" t="s">
        <v>20</v>
      </c>
      <c r="G22" s="68" t="s">
        <v>20</v>
      </c>
      <c r="H22" s="68" t="s">
        <v>20</v>
      </c>
      <c r="I22" s="68">
        <v>17849300</v>
      </c>
      <c r="J22" s="68">
        <v>17844600</v>
      </c>
      <c r="K22" s="68">
        <v>17844600</v>
      </c>
      <c r="L22" s="68">
        <v>17844600</v>
      </c>
      <c r="M22" s="68" t="s">
        <v>20</v>
      </c>
      <c r="N22" s="68">
        <v>24549100</v>
      </c>
    </row>
    <row r="23" spans="1:14" x14ac:dyDescent="0.25">
      <c r="A23" s="68" t="s">
        <v>193</v>
      </c>
      <c r="B23" s="68">
        <v>2077621000</v>
      </c>
      <c r="C23" s="68">
        <v>879576000</v>
      </c>
      <c r="D23" s="68">
        <v>580729000</v>
      </c>
      <c r="E23" s="68">
        <v>954761000</v>
      </c>
      <c r="F23" s="68">
        <v>661882000</v>
      </c>
      <c r="G23" s="68">
        <v>612601300</v>
      </c>
      <c r="H23" s="68">
        <v>1600696099.9999998</v>
      </c>
      <c r="I23" s="68">
        <v>2978752300</v>
      </c>
      <c r="J23" s="68">
        <v>1468181900</v>
      </c>
      <c r="K23" s="68">
        <v>632529800</v>
      </c>
      <c r="L23" s="68">
        <v>735164500</v>
      </c>
      <c r="M23" s="68">
        <v>483386900</v>
      </c>
      <c r="N23" s="68">
        <v>261288700</v>
      </c>
    </row>
    <row r="24" spans="1:14" x14ac:dyDescent="0.25">
      <c r="A24" s="68" t="s">
        <v>194</v>
      </c>
      <c r="B24" s="68" t="s">
        <v>20</v>
      </c>
      <c r="C24" s="68" t="s">
        <v>20</v>
      </c>
      <c r="D24" s="68">
        <v>580729000</v>
      </c>
      <c r="E24" s="68">
        <v>954761000</v>
      </c>
      <c r="F24" s="68">
        <v>661882000</v>
      </c>
      <c r="G24" s="68">
        <v>612601300</v>
      </c>
      <c r="H24" s="68">
        <v>1600696099.9999998</v>
      </c>
      <c r="I24" s="68">
        <v>2978752300</v>
      </c>
      <c r="J24" s="68">
        <v>1468181900</v>
      </c>
      <c r="K24" s="68">
        <v>632529800</v>
      </c>
      <c r="L24" s="68">
        <v>735164500</v>
      </c>
      <c r="M24" s="68">
        <v>483386900</v>
      </c>
      <c r="N24" s="68">
        <v>260351600</v>
      </c>
    </row>
    <row r="25" spans="1:14" x14ac:dyDescent="0.25">
      <c r="A25" s="68" t="s">
        <v>195</v>
      </c>
      <c r="B25" s="68" t="s">
        <v>20</v>
      </c>
      <c r="C25" s="68" t="s">
        <v>20</v>
      </c>
      <c r="D25" s="68" t="s">
        <v>20</v>
      </c>
      <c r="E25" s="68" t="s">
        <v>20</v>
      </c>
      <c r="F25" s="68" t="s">
        <v>20</v>
      </c>
      <c r="G25" s="68" t="s">
        <v>20</v>
      </c>
      <c r="H25" s="68" t="s">
        <v>20</v>
      </c>
      <c r="I25" s="68" t="s">
        <v>20</v>
      </c>
      <c r="J25" s="68" t="s">
        <v>20</v>
      </c>
      <c r="K25" s="68" t="s">
        <v>20</v>
      </c>
      <c r="L25" s="68" t="s">
        <v>20</v>
      </c>
      <c r="M25" s="68" t="s">
        <v>20</v>
      </c>
      <c r="N25" s="68">
        <v>937099.99999999988</v>
      </c>
    </row>
    <row r="26" spans="1:14" x14ac:dyDescent="0.25">
      <c r="A26" s="68" t="s">
        <v>196</v>
      </c>
      <c r="B26" s="68">
        <v>16186675000</v>
      </c>
      <c r="C26" s="68">
        <v>15167036000</v>
      </c>
      <c r="D26" s="68">
        <v>6868538000</v>
      </c>
      <c r="E26" s="68">
        <v>3392402000</v>
      </c>
      <c r="F26" s="68">
        <v>3431958000</v>
      </c>
      <c r="G26" s="68">
        <v>3325738400</v>
      </c>
      <c r="H26" s="68">
        <v>3672190930</v>
      </c>
      <c r="I26" s="68">
        <v>3201275000</v>
      </c>
      <c r="J26" s="68">
        <v>2339660278.2800002</v>
      </c>
      <c r="K26" s="68">
        <v>1985007561.4400001</v>
      </c>
      <c r="L26" s="68">
        <v>1860994900.55</v>
      </c>
      <c r="M26" s="68">
        <v>1141873432.5699999</v>
      </c>
      <c r="N26" s="68">
        <v>856936789.74000001</v>
      </c>
    </row>
    <row r="27" spans="1:14" x14ac:dyDescent="0.25">
      <c r="A27" s="68" t="s">
        <v>197</v>
      </c>
      <c r="B27" s="68">
        <v>29100390000</v>
      </c>
      <c r="C27" s="68">
        <v>28903785000</v>
      </c>
      <c r="D27" s="68">
        <v>5730995000</v>
      </c>
      <c r="E27" s="68">
        <v>2393066000</v>
      </c>
      <c r="F27" s="68">
        <v>2931791000</v>
      </c>
      <c r="G27" s="68">
        <v>2931003600</v>
      </c>
      <c r="H27" s="68">
        <v>3473028600</v>
      </c>
      <c r="I27" s="68">
        <v>3295892500</v>
      </c>
      <c r="J27" s="68">
        <v>2366732900</v>
      </c>
      <c r="K27" s="68">
        <v>2312018600</v>
      </c>
      <c r="L27" s="68">
        <v>2524240800</v>
      </c>
      <c r="M27" s="68">
        <v>720939200</v>
      </c>
      <c r="N27" s="68" t="s">
        <v>20</v>
      </c>
    </row>
    <row r="28" spans="1:14" x14ac:dyDescent="0.25">
      <c r="A28" s="68" t="s">
        <v>198</v>
      </c>
      <c r="B28" s="68">
        <v>1191373000</v>
      </c>
      <c r="C28" s="68">
        <v>859106000</v>
      </c>
      <c r="D28" s="68">
        <v>625971000</v>
      </c>
      <c r="E28" s="68">
        <v>781359000</v>
      </c>
      <c r="F28" s="68">
        <v>758576000</v>
      </c>
      <c r="G28" s="68">
        <v>647882300</v>
      </c>
      <c r="H28" s="68">
        <v>588742300</v>
      </c>
      <c r="I28" s="68">
        <v>664751400</v>
      </c>
      <c r="J28" s="68">
        <v>394788300</v>
      </c>
      <c r="K28" s="68">
        <v>223319400</v>
      </c>
      <c r="L28" s="68">
        <v>282361700</v>
      </c>
      <c r="M28" s="68">
        <v>219838800</v>
      </c>
      <c r="N28" s="68">
        <v>190981300</v>
      </c>
    </row>
    <row r="29" spans="1:14" x14ac:dyDescent="0.25">
      <c r="A29" s="68" t="s">
        <v>199</v>
      </c>
      <c r="B29" s="68">
        <v>4421313000</v>
      </c>
      <c r="C29" s="68">
        <v>4023334000</v>
      </c>
      <c r="D29" s="68">
        <v>3030383000</v>
      </c>
      <c r="E29" s="68">
        <v>2223999000</v>
      </c>
      <c r="F29" s="68">
        <v>3779988000</v>
      </c>
      <c r="G29" s="68">
        <v>2567204500</v>
      </c>
      <c r="H29" s="68">
        <v>792213400</v>
      </c>
      <c r="I29" s="68">
        <v>722445300</v>
      </c>
      <c r="J29" s="68">
        <v>920781400</v>
      </c>
      <c r="K29" s="68">
        <v>902584800</v>
      </c>
      <c r="L29" s="68">
        <v>519916500</v>
      </c>
      <c r="M29" s="68">
        <v>399017300.00000006</v>
      </c>
      <c r="N29" s="68" t="s">
        <v>20</v>
      </c>
    </row>
    <row r="30" spans="1:14" x14ac:dyDescent="0.25">
      <c r="A30" s="68" t="s">
        <v>200</v>
      </c>
      <c r="B30" s="68">
        <v>550352000</v>
      </c>
      <c r="C30" s="68">
        <v>614822000</v>
      </c>
      <c r="D30" s="68">
        <v>4158530000</v>
      </c>
      <c r="E30" s="68">
        <v>669730000</v>
      </c>
      <c r="F30" s="68" t="s">
        <v>20</v>
      </c>
      <c r="G30" s="68" t="s">
        <v>20</v>
      </c>
      <c r="H30" s="68" t="s">
        <v>20</v>
      </c>
      <c r="I30" s="68">
        <v>25658300</v>
      </c>
      <c r="J30" s="68">
        <v>101492000</v>
      </c>
      <c r="K30" s="68">
        <v>3359600</v>
      </c>
      <c r="L30" s="68" t="s">
        <v>20</v>
      </c>
      <c r="M30" s="68" t="s">
        <v>20</v>
      </c>
      <c r="N30" s="68" t="s">
        <v>20</v>
      </c>
    </row>
    <row r="31" spans="1:14" x14ac:dyDescent="0.25">
      <c r="A31" s="68" t="s">
        <v>201</v>
      </c>
      <c r="B31" s="68">
        <v>81011710000</v>
      </c>
      <c r="C31" s="68">
        <v>78296182000</v>
      </c>
      <c r="D31" s="68">
        <v>49979391000</v>
      </c>
      <c r="E31" s="68">
        <v>35474229000</v>
      </c>
      <c r="F31" s="68">
        <v>33865013000</v>
      </c>
      <c r="G31" s="68">
        <v>31619292799.999996</v>
      </c>
      <c r="H31" s="68">
        <v>32174336200</v>
      </c>
      <c r="I31" s="68">
        <v>30298562500</v>
      </c>
      <c r="J31" s="68">
        <v>21760295299.999996</v>
      </c>
      <c r="K31" s="68">
        <v>16736491900</v>
      </c>
      <c r="L31" s="68">
        <v>14497225600</v>
      </c>
      <c r="M31" s="68">
        <v>9102769700</v>
      </c>
      <c r="N31" s="68">
        <v>6944669000</v>
      </c>
    </row>
    <row r="32" spans="1:14" x14ac:dyDescent="0.25">
      <c r="A32" s="68" t="s">
        <v>202</v>
      </c>
      <c r="B32" s="68">
        <v>263701148000</v>
      </c>
      <c r="C32" s="68">
        <v>248106858000</v>
      </c>
      <c r="D32" s="68">
        <v>170600711000</v>
      </c>
      <c r="E32" s="68">
        <v>128841935000</v>
      </c>
      <c r="F32" s="68">
        <v>120292086000</v>
      </c>
      <c r="G32" s="68">
        <v>96946024800</v>
      </c>
      <c r="H32" s="68">
        <v>87736527000</v>
      </c>
      <c r="I32" s="68">
        <v>90345141800</v>
      </c>
      <c r="J32" s="68">
        <v>70960357100</v>
      </c>
      <c r="K32" s="68">
        <v>52065830000</v>
      </c>
      <c r="L32" s="68">
        <v>35898659400</v>
      </c>
      <c r="M32" s="68">
        <v>27421108100</v>
      </c>
      <c r="N32" s="68">
        <v>19400729200</v>
      </c>
    </row>
    <row r="33" spans="1:14" x14ac:dyDescent="0.25">
      <c r="A33" s="68" t="s">
        <v>203</v>
      </c>
      <c r="B33" s="68"/>
      <c r="C33" s="68"/>
      <c r="D33" s="68"/>
      <c r="E33" s="68"/>
      <c r="F33" s="68"/>
      <c r="G33" s="68"/>
      <c r="H33" s="68"/>
      <c r="I33" s="68"/>
      <c r="J33" s="68"/>
      <c r="K33" s="68"/>
      <c r="L33" s="68"/>
      <c r="M33" s="68"/>
      <c r="N33" s="68"/>
    </row>
    <row r="34" spans="1:14" x14ac:dyDescent="0.25">
      <c r="A34" s="68" t="s">
        <v>204</v>
      </c>
      <c r="B34" s="68">
        <v>870390000</v>
      </c>
      <c r="C34" s="68">
        <v>2584102000</v>
      </c>
      <c r="D34" s="68">
        <v>3024426000</v>
      </c>
      <c r="E34" s="68">
        <v>3920933000</v>
      </c>
      <c r="F34" s="68">
        <v>6070879000</v>
      </c>
      <c r="G34" s="68">
        <v>8872174000</v>
      </c>
      <c r="H34" s="68">
        <v>5082087100</v>
      </c>
      <c r="I34" s="68">
        <v>5869427000</v>
      </c>
      <c r="J34" s="68">
        <v>5110508800</v>
      </c>
      <c r="K34" s="68">
        <v>1897044300</v>
      </c>
      <c r="L34" s="68">
        <v>3611105200</v>
      </c>
      <c r="M34" s="68">
        <v>3305327000</v>
      </c>
      <c r="N34" s="68">
        <v>2131877900</v>
      </c>
    </row>
    <row r="35" spans="1:14" x14ac:dyDescent="0.25">
      <c r="A35" s="68" t="s">
        <v>205</v>
      </c>
      <c r="B35" s="68" t="s">
        <v>20</v>
      </c>
      <c r="C35" s="68" t="s">
        <v>20</v>
      </c>
      <c r="D35" s="68" t="s">
        <v>20</v>
      </c>
      <c r="E35" s="68" t="s">
        <v>20</v>
      </c>
      <c r="F35" s="68" t="s">
        <v>20</v>
      </c>
      <c r="G35" s="68" t="s">
        <v>20</v>
      </c>
      <c r="H35" s="68">
        <v>22073100</v>
      </c>
      <c r="I35" s="68">
        <v>4849500</v>
      </c>
      <c r="J35" s="68">
        <v>7555100</v>
      </c>
      <c r="K35" s="68">
        <v>867700</v>
      </c>
      <c r="L35" s="68">
        <v>22126200</v>
      </c>
      <c r="M35" s="68" t="s">
        <v>20</v>
      </c>
      <c r="N35" s="68" t="s">
        <v>20</v>
      </c>
    </row>
    <row r="36" spans="1:14" x14ac:dyDescent="0.25">
      <c r="A36" s="68" t="s">
        <v>206</v>
      </c>
      <c r="B36" s="68">
        <v>756299000</v>
      </c>
      <c r="C36" s="68">
        <v>90432000</v>
      </c>
      <c r="D36" s="68">
        <v>89838000</v>
      </c>
      <c r="E36" s="68">
        <v>33377000</v>
      </c>
      <c r="F36" s="68">
        <v>74961000</v>
      </c>
      <c r="G36" s="68">
        <v>11260200</v>
      </c>
      <c r="H36" s="68" t="s">
        <v>20</v>
      </c>
      <c r="I36" s="68" t="s">
        <v>20</v>
      </c>
      <c r="J36" s="68" t="s">
        <v>20</v>
      </c>
      <c r="K36" s="68" t="s">
        <v>20</v>
      </c>
      <c r="L36" s="68" t="s">
        <v>20</v>
      </c>
      <c r="M36" s="68" t="s">
        <v>20</v>
      </c>
      <c r="N36" s="68" t="s">
        <v>20</v>
      </c>
    </row>
    <row r="37" spans="1:14" x14ac:dyDescent="0.25">
      <c r="A37" s="68" t="s">
        <v>207</v>
      </c>
      <c r="B37" s="68">
        <v>60226741000</v>
      </c>
      <c r="C37" s="68">
        <v>60352562000</v>
      </c>
      <c r="D37" s="68">
        <v>43841899000</v>
      </c>
      <c r="E37" s="68">
        <v>34527204000</v>
      </c>
      <c r="F37" s="68">
        <v>32785951000</v>
      </c>
      <c r="G37" s="68">
        <v>23816578100</v>
      </c>
      <c r="H37" s="68">
        <v>25016982900</v>
      </c>
      <c r="I37" s="68">
        <v>28342904200</v>
      </c>
      <c r="J37" s="68">
        <v>25209412799.999996</v>
      </c>
      <c r="K37" s="68">
        <v>18589266600</v>
      </c>
      <c r="L37" s="68">
        <v>12331150700</v>
      </c>
      <c r="M37" s="68">
        <v>11738701200.000002</v>
      </c>
      <c r="N37" s="68">
        <v>9173787600</v>
      </c>
    </row>
    <row r="38" spans="1:14" x14ac:dyDescent="0.25">
      <c r="A38" s="68" t="s">
        <v>208</v>
      </c>
      <c r="B38" s="68">
        <v>23325115000</v>
      </c>
      <c r="C38" s="68">
        <v>25207785000</v>
      </c>
      <c r="D38" s="68">
        <v>18484939000</v>
      </c>
      <c r="E38" s="68">
        <v>17078520000</v>
      </c>
      <c r="F38" s="68">
        <v>12648497000</v>
      </c>
      <c r="G38" s="68">
        <v>6308478500</v>
      </c>
      <c r="H38" s="68">
        <v>9243386700</v>
      </c>
      <c r="I38" s="68">
        <v>10644788899.999998</v>
      </c>
      <c r="J38" s="68">
        <v>9149121100</v>
      </c>
      <c r="K38" s="68">
        <v>4619638100</v>
      </c>
      <c r="L38" s="68">
        <v>4521937300</v>
      </c>
      <c r="M38" s="68">
        <v>4464120000</v>
      </c>
      <c r="N38" s="68">
        <v>2427248400</v>
      </c>
    </row>
    <row r="39" spans="1:14" x14ac:dyDescent="0.25">
      <c r="A39" s="68" t="s">
        <v>209</v>
      </c>
      <c r="B39" s="68">
        <v>36901626000</v>
      </c>
      <c r="C39" s="68">
        <v>35144777000</v>
      </c>
      <c r="D39" s="68">
        <v>25356960000</v>
      </c>
      <c r="E39" s="68">
        <v>17448684000</v>
      </c>
      <c r="F39" s="68">
        <v>20137454000</v>
      </c>
      <c r="G39" s="68">
        <v>17508099700</v>
      </c>
      <c r="H39" s="68">
        <v>15773596200.000002</v>
      </c>
      <c r="I39" s="68">
        <v>17698115300</v>
      </c>
      <c r="J39" s="68">
        <v>16060291700</v>
      </c>
      <c r="K39" s="68">
        <v>13969628400</v>
      </c>
      <c r="L39" s="68">
        <v>7809213400</v>
      </c>
      <c r="M39" s="68">
        <v>7274581200</v>
      </c>
      <c r="N39" s="68">
        <v>6746539100</v>
      </c>
    </row>
    <row r="40" spans="1:14" x14ac:dyDescent="0.25">
      <c r="A40" s="68" t="s">
        <v>210</v>
      </c>
      <c r="B40" s="68">
        <v>16781666000</v>
      </c>
      <c r="C40" s="68">
        <v>17409063000</v>
      </c>
      <c r="D40" s="68">
        <v>10252375000</v>
      </c>
      <c r="E40" s="68">
        <v>5616361000</v>
      </c>
      <c r="F40" s="68">
        <v>3992540000</v>
      </c>
      <c r="G40" s="68">
        <v>4983346300</v>
      </c>
      <c r="H40" s="68">
        <v>3570152800.0000005</v>
      </c>
      <c r="I40" s="68">
        <v>6031973900</v>
      </c>
      <c r="J40" s="68">
        <v>4198012800.0000005</v>
      </c>
      <c r="K40" s="68">
        <v>3251626800</v>
      </c>
      <c r="L40" s="68">
        <v>1369485400</v>
      </c>
      <c r="M40" s="68">
        <v>1526405400</v>
      </c>
      <c r="N40" s="68">
        <v>719602400</v>
      </c>
    </row>
    <row r="41" spans="1:14" x14ac:dyDescent="0.25">
      <c r="A41" s="68" t="s">
        <v>211</v>
      </c>
      <c r="B41" s="68">
        <v>5788004000</v>
      </c>
      <c r="C41" s="68">
        <v>5247500000</v>
      </c>
      <c r="D41" s="68">
        <v>3154387000</v>
      </c>
      <c r="E41" s="68">
        <v>2229332000</v>
      </c>
      <c r="F41" s="68">
        <v>2199777000</v>
      </c>
      <c r="G41" s="68">
        <v>1968837700</v>
      </c>
      <c r="H41" s="68">
        <v>1330103200</v>
      </c>
      <c r="I41" s="68">
        <v>1085563200</v>
      </c>
      <c r="J41" s="68">
        <v>1171964400</v>
      </c>
      <c r="K41" s="68">
        <v>816528900</v>
      </c>
      <c r="L41" s="68">
        <v>611569300</v>
      </c>
      <c r="M41" s="68">
        <v>524673399.99999994</v>
      </c>
      <c r="N41" s="68">
        <v>252151900</v>
      </c>
    </row>
    <row r="42" spans="1:14" x14ac:dyDescent="0.25">
      <c r="A42" s="68" t="s">
        <v>212</v>
      </c>
      <c r="B42" s="68">
        <v>3875298000</v>
      </c>
      <c r="C42" s="68">
        <v>3544154000</v>
      </c>
      <c r="D42" s="68">
        <v>2364446000</v>
      </c>
      <c r="E42" s="68">
        <v>1607181000</v>
      </c>
      <c r="F42" s="68">
        <v>3280151000</v>
      </c>
      <c r="G42" s="68">
        <v>1028015100</v>
      </c>
      <c r="H42" s="68">
        <v>917644600.00000012</v>
      </c>
      <c r="I42" s="68">
        <v>-1070728500</v>
      </c>
      <c r="J42" s="68">
        <v>-407005700</v>
      </c>
      <c r="K42" s="68">
        <v>354502500</v>
      </c>
      <c r="L42" s="68">
        <v>64536500</v>
      </c>
      <c r="M42" s="68">
        <v>-361229200</v>
      </c>
      <c r="N42" s="68">
        <v>-307585100</v>
      </c>
    </row>
    <row r="43" spans="1:14" x14ac:dyDescent="0.25">
      <c r="A43" s="68" t="s">
        <v>213</v>
      </c>
      <c r="B43" s="68">
        <v>3346129000</v>
      </c>
      <c r="C43" s="68">
        <v>3360523000</v>
      </c>
      <c r="D43" s="68">
        <v>1698406000</v>
      </c>
      <c r="E43" s="68">
        <v>1267500000</v>
      </c>
      <c r="F43" s="68">
        <v>1340260000</v>
      </c>
      <c r="G43" s="68">
        <v>1651651099.9999998</v>
      </c>
      <c r="H43" s="68">
        <v>2732369500</v>
      </c>
      <c r="I43" s="68">
        <v>1751099000</v>
      </c>
      <c r="J43" s="68">
        <v>1193793800</v>
      </c>
      <c r="K43" s="68">
        <v>759502899.99999988</v>
      </c>
      <c r="L43" s="68">
        <v>733007000</v>
      </c>
      <c r="M43" s="68">
        <v>268242000</v>
      </c>
      <c r="N43" s="68">
        <v>574433800</v>
      </c>
    </row>
    <row r="44" spans="1:14" x14ac:dyDescent="0.25">
      <c r="A44" s="68" t="s">
        <v>214</v>
      </c>
      <c r="B44" s="68" t="s">
        <v>20</v>
      </c>
      <c r="C44" s="68" t="s">
        <v>20</v>
      </c>
      <c r="D44" s="68">
        <v>21343000</v>
      </c>
      <c r="E44" s="68">
        <v>9343000</v>
      </c>
      <c r="F44" s="68">
        <v>22912000</v>
      </c>
      <c r="G44" s="68">
        <v>69823900</v>
      </c>
      <c r="H44" s="68">
        <v>190137599.99999997</v>
      </c>
      <c r="I44" s="68">
        <v>216647400.00000003</v>
      </c>
      <c r="J44" s="68">
        <v>3911000</v>
      </c>
      <c r="K44" s="68">
        <v>1297600</v>
      </c>
      <c r="L44" s="68" t="s">
        <v>20</v>
      </c>
      <c r="M44" s="68" t="s">
        <v>20</v>
      </c>
      <c r="N44" s="68" t="s">
        <v>20</v>
      </c>
    </row>
    <row r="45" spans="1:14" x14ac:dyDescent="0.25">
      <c r="A45" s="68" t="s">
        <v>215</v>
      </c>
      <c r="B45" s="68">
        <v>111195000</v>
      </c>
      <c r="C45" s="68" t="s">
        <v>20</v>
      </c>
      <c r="D45" s="68">
        <v>105641000</v>
      </c>
      <c r="E45" s="68">
        <v>118851000</v>
      </c>
      <c r="F45" s="68">
        <v>93799000</v>
      </c>
      <c r="G45" s="68">
        <v>94046200.000000015</v>
      </c>
      <c r="H45" s="68">
        <v>72913400</v>
      </c>
      <c r="I45" s="68">
        <v>4844700</v>
      </c>
      <c r="J45" s="68">
        <v>40125600</v>
      </c>
      <c r="K45" s="68">
        <v>3656900</v>
      </c>
      <c r="L45" s="68">
        <v>298381900</v>
      </c>
      <c r="M45" s="68">
        <v>56701899.999999993</v>
      </c>
      <c r="N45" s="68">
        <v>1914000</v>
      </c>
    </row>
    <row r="46" spans="1:14" x14ac:dyDescent="0.25">
      <c r="A46" s="68" t="s">
        <v>216</v>
      </c>
      <c r="B46" s="68" t="s">
        <v>20</v>
      </c>
      <c r="C46" s="68" t="s">
        <v>20</v>
      </c>
      <c r="D46" s="68">
        <v>1571422000</v>
      </c>
      <c r="E46" s="68">
        <v>1139306000</v>
      </c>
      <c r="F46" s="68">
        <v>1223549000</v>
      </c>
      <c r="G46" s="68">
        <v>1487781000</v>
      </c>
      <c r="H46" s="68">
        <v>2469318500</v>
      </c>
      <c r="I46" s="68">
        <v>1529607000</v>
      </c>
      <c r="J46" s="68">
        <v>1149757200</v>
      </c>
      <c r="K46" s="68">
        <v>754548500</v>
      </c>
      <c r="L46" s="68">
        <v>434625199.99999994</v>
      </c>
      <c r="M46" s="68">
        <v>211540000</v>
      </c>
      <c r="N46" s="68">
        <v>572519800</v>
      </c>
    </row>
    <row r="47" spans="1:14" x14ac:dyDescent="0.25">
      <c r="A47" s="68" t="s">
        <v>217</v>
      </c>
      <c r="B47" s="68">
        <v>7122712000</v>
      </c>
      <c r="C47" s="68">
        <v>136605000</v>
      </c>
      <c r="D47" s="68">
        <v>158545000</v>
      </c>
      <c r="E47" s="68" t="s">
        <v>20</v>
      </c>
      <c r="F47" s="68">
        <v>611900000</v>
      </c>
      <c r="G47" s="68">
        <v>1617370200</v>
      </c>
      <c r="H47" s="68">
        <v>3944828300</v>
      </c>
      <c r="I47" s="68">
        <v>775221700</v>
      </c>
      <c r="J47" s="68">
        <v>263879900.00000003</v>
      </c>
      <c r="K47" s="68">
        <v>180716000</v>
      </c>
      <c r="L47" s="68" t="s">
        <v>20</v>
      </c>
      <c r="M47" s="68" t="s">
        <v>20</v>
      </c>
      <c r="N47" s="68" t="s">
        <v>20</v>
      </c>
    </row>
    <row r="48" spans="1:14" x14ac:dyDescent="0.25">
      <c r="A48" s="68" t="s">
        <v>218</v>
      </c>
      <c r="B48" s="68">
        <v>31319709000</v>
      </c>
      <c r="C48" s="68">
        <v>26257990000</v>
      </c>
      <c r="D48" s="68">
        <v>24562970000</v>
      </c>
      <c r="E48" s="68">
        <v>22098177000</v>
      </c>
      <c r="F48" s="68">
        <v>22778936000</v>
      </c>
      <c r="G48" s="68">
        <v>12608380000</v>
      </c>
      <c r="H48" s="68">
        <v>8193297700</v>
      </c>
      <c r="I48" s="68">
        <v>9478886900</v>
      </c>
      <c r="J48" s="68">
        <v>5561138900</v>
      </c>
      <c r="K48" s="68">
        <v>4827240400</v>
      </c>
      <c r="L48" s="68">
        <v>5128777300</v>
      </c>
      <c r="M48" s="68">
        <v>1426903599.9999998</v>
      </c>
      <c r="N48" s="68" t="s">
        <v>20</v>
      </c>
    </row>
    <row r="49" spans="1:14" x14ac:dyDescent="0.25">
      <c r="A49" s="68" t="s">
        <v>219</v>
      </c>
      <c r="B49" s="68">
        <v>130231088000</v>
      </c>
      <c r="C49" s="68">
        <v>119091857000</v>
      </c>
      <c r="D49" s="68">
        <v>89184000000</v>
      </c>
      <c r="E49" s="68">
        <v>72003849000</v>
      </c>
      <c r="F49" s="68">
        <v>73142849000</v>
      </c>
      <c r="G49" s="68">
        <v>56647381700</v>
      </c>
      <c r="H49" s="68">
        <v>50810163900</v>
      </c>
      <c r="I49" s="68">
        <v>52269197000</v>
      </c>
      <c r="J49" s="68">
        <v>42309260599.999992</v>
      </c>
      <c r="K49" s="68">
        <v>32677296200</v>
      </c>
      <c r="L49" s="68">
        <v>23871757599.999996</v>
      </c>
      <c r="M49" s="68">
        <v>18429023300</v>
      </c>
      <c r="N49" s="68">
        <v>13488644400</v>
      </c>
    </row>
    <row r="50" spans="1:14" x14ac:dyDescent="0.25">
      <c r="A50" s="68" t="s">
        <v>220</v>
      </c>
      <c r="B50" s="68"/>
      <c r="C50" s="68"/>
      <c r="D50" s="68"/>
      <c r="E50" s="68"/>
      <c r="F50" s="68"/>
      <c r="G50" s="68"/>
      <c r="H50" s="68"/>
      <c r="I50" s="68"/>
      <c r="J50" s="68"/>
      <c r="K50" s="68"/>
      <c r="L50" s="68"/>
      <c r="M50" s="68"/>
      <c r="N50" s="68"/>
    </row>
    <row r="51" spans="1:14" x14ac:dyDescent="0.25">
      <c r="A51" s="68" t="s">
        <v>221</v>
      </c>
      <c r="B51" s="68">
        <v>32091439000</v>
      </c>
      <c r="C51" s="68">
        <v>32986325000</v>
      </c>
      <c r="D51" s="68">
        <v>2254348000</v>
      </c>
      <c r="E51" s="68">
        <v>90061000</v>
      </c>
      <c r="F51" s="68">
        <v>19205000</v>
      </c>
      <c r="G51" s="68">
        <v>711464600.00000012</v>
      </c>
      <c r="H51" s="68">
        <v>2388474000</v>
      </c>
      <c r="I51" s="68">
        <v>3313217700</v>
      </c>
      <c r="J51" s="68">
        <v>2271486900</v>
      </c>
      <c r="K51" s="68">
        <v>2603375700</v>
      </c>
      <c r="L51" s="68">
        <v>705710000</v>
      </c>
      <c r="M51" s="68">
        <v>405000000</v>
      </c>
      <c r="N51" s="68">
        <v>33550000</v>
      </c>
    </row>
    <row r="52" spans="1:14" x14ac:dyDescent="0.25">
      <c r="A52" s="68" t="s">
        <v>222</v>
      </c>
      <c r="B52" s="68" t="s">
        <v>20</v>
      </c>
      <c r="C52" s="68">
        <v>4553054000</v>
      </c>
      <c r="D52" s="68">
        <v>4818769000</v>
      </c>
      <c r="E52" s="68" t="s">
        <v>20</v>
      </c>
      <c r="F52" s="68">
        <v>153026000</v>
      </c>
      <c r="G52" s="68">
        <v>152716600</v>
      </c>
      <c r="H52" s="68">
        <v>1149250600</v>
      </c>
      <c r="I52" s="68">
        <v>4478479300</v>
      </c>
      <c r="J52" s="68">
        <v>3578806300</v>
      </c>
      <c r="K52" s="68" t="s">
        <v>20</v>
      </c>
      <c r="L52" s="68" t="s">
        <v>20</v>
      </c>
      <c r="M52" s="68" t="s">
        <v>20</v>
      </c>
      <c r="N52" s="68" t="s">
        <v>20</v>
      </c>
    </row>
    <row r="53" spans="1:14" x14ac:dyDescent="0.25">
      <c r="A53" s="68" t="s">
        <v>223</v>
      </c>
      <c r="B53" s="68">
        <v>88890000</v>
      </c>
      <c r="C53" s="68">
        <v>250536000</v>
      </c>
      <c r="D53" s="68">
        <v>369286000</v>
      </c>
      <c r="E53" s="68">
        <v>500000</v>
      </c>
      <c r="F53" s="68">
        <v>851825000</v>
      </c>
      <c r="G53" s="68">
        <v>52074000</v>
      </c>
      <c r="H53" s="68">
        <v>12594600</v>
      </c>
      <c r="I53" s="68" t="s">
        <v>20</v>
      </c>
      <c r="J53" s="68" t="s">
        <v>20</v>
      </c>
      <c r="K53" s="68" t="s">
        <v>20</v>
      </c>
      <c r="L53" s="68" t="s">
        <v>20</v>
      </c>
      <c r="M53" s="68" t="s">
        <v>20</v>
      </c>
      <c r="N53" s="68">
        <v>17924600</v>
      </c>
    </row>
    <row r="54" spans="1:14" x14ac:dyDescent="0.25">
      <c r="A54" s="68" t="s">
        <v>224</v>
      </c>
      <c r="B54" s="68" t="s">
        <v>20</v>
      </c>
      <c r="C54" s="68" t="s">
        <v>20</v>
      </c>
      <c r="D54" s="68">
        <v>366881000</v>
      </c>
      <c r="E54" s="68" t="s">
        <v>20</v>
      </c>
      <c r="F54" s="68" t="s">
        <v>20</v>
      </c>
      <c r="G54" s="68" t="s">
        <v>20</v>
      </c>
      <c r="H54" s="68" t="s">
        <v>20</v>
      </c>
      <c r="I54" s="68" t="s">
        <v>20</v>
      </c>
      <c r="J54" s="68" t="s">
        <v>20</v>
      </c>
      <c r="K54" s="68" t="s">
        <v>20</v>
      </c>
      <c r="L54" s="68" t="s">
        <v>20</v>
      </c>
      <c r="M54" s="68" t="s">
        <v>20</v>
      </c>
      <c r="N54" s="68">
        <v>1000000</v>
      </c>
    </row>
    <row r="55" spans="1:14" x14ac:dyDescent="0.25">
      <c r="A55" s="68" t="s">
        <v>225</v>
      </c>
      <c r="B55" s="68" t="s">
        <v>20</v>
      </c>
      <c r="C55" s="68" t="s">
        <v>20</v>
      </c>
      <c r="D55" s="68">
        <v>2405000</v>
      </c>
      <c r="E55" s="68">
        <v>500000</v>
      </c>
      <c r="F55" s="68">
        <v>851825000</v>
      </c>
      <c r="G55" s="68">
        <v>52074000</v>
      </c>
      <c r="H55" s="68">
        <v>12594600</v>
      </c>
      <c r="I55" s="68" t="s">
        <v>20</v>
      </c>
      <c r="J55" s="68" t="s">
        <v>20</v>
      </c>
      <c r="K55" s="68" t="s">
        <v>20</v>
      </c>
      <c r="L55" s="68" t="s">
        <v>20</v>
      </c>
      <c r="M55" s="68" t="s">
        <v>20</v>
      </c>
      <c r="N55" s="68">
        <v>16924600</v>
      </c>
    </row>
    <row r="56" spans="1:14" x14ac:dyDescent="0.25">
      <c r="A56" s="68" t="s">
        <v>226</v>
      </c>
      <c r="B56" s="68">
        <v>268887000</v>
      </c>
      <c r="C56" s="68">
        <v>330736000</v>
      </c>
      <c r="D56" s="68">
        <v>325217000</v>
      </c>
      <c r="E56" s="68">
        <v>38893000</v>
      </c>
      <c r="F56" s="68">
        <v>25574000</v>
      </c>
      <c r="G56" s="68">
        <v>33466200</v>
      </c>
      <c r="H56" s="68">
        <v>24611200</v>
      </c>
      <c r="I56" s="68">
        <v>21844500</v>
      </c>
      <c r="J56" s="68">
        <v>19924800</v>
      </c>
      <c r="K56" s="68">
        <v>11213500</v>
      </c>
      <c r="L56" s="68">
        <v>18541900</v>
      </c>
      <c r="M56" s="68" t="s">
        <v>20</v>
      </c>
      <c r="N56" s="68" t="s">
        <v>20</v>
      </c>
    </row>
    <row r="57" spans="1:14" x14ac:dyDescent="0.25">
      <c r="A57" s="68" t="s">
        <v>227</v>
      </c>
      <c r="B57" s="68">
        <v>4422074000</v>
      </c>
      <c r="C57" s="68">
        <v>3972823000</v>
      </c>
      <c r="D57" s="68">
        <v>1831973000</v>
      </c>
      <c r="E57" s="68">
        <v>40464000</v>
      </c>
      <c r="F57" s="68">
        <v>25917000</v>
      </c>
      <c r="G57" s="68">
        <v>123797600</v>
      </c>
      <c r="H57" s="68">
        <v>86157800</v>
      </c>
      <c r="I57" s="68">
        <v>44164200</v>
      </c>
      <c r="J57" s="68">
        <v>75340300</v>
      </c>
      <c r="K57" s="68">
        <v>86953300</v>
      </c>
      <c r="L57" s="68">
        <v>55164600</v>
      </c>
      <c r="M57" s="68" t="s">
        <v>20</v>
      </c>
      <c r="N57" s="68" t="s">
        <v>20</v>
      </c>
    </row>
    <row r="58" spans="1:14" x14ac:dyDescent="0.25">
      <c r="A58" s="68" t="s">
        <v>228</v>
      </c>
      <c r="B58" s="68">
        <v>647583000</v>
      </c>
      <c r="C58" s="68">
        <v>536443000</v>
      </c>
      <c r="D58" s="68">
        <v>502316000</v>
      </c>
      <c r="E58" s="68">
        <v>479352000</v>
      </c>
      <c r="F58" s="68">
        <v>342236000</v>
      </c>
      <c r="G58" s="68">
        <v>144561800</v>
      </c>
      <c r="H58" s="68" t="s">
        <v>20</v>
      </c>
      <c r="I58" s="68" t="s">
        <v>20</v>
      </c>
      <c r="J58" s="68" t="s">
        <v>20</v>
      </c>
      <c r="K58" s="68" t="s">
        <v>20</v>
      </c>
      <c r="L58" s="68" t="s">
        <v>20</v>
      </c>
      <c r="M58" s="68" t="s">
        <v>20</v>
      </c>
      <c r="N58" s="68" t="s">
        <v>20</v>
      </c>
    </row>
    <row r="59" spans="1:14" x14ac:dyDescent="0.25">
      <c r="A59" s="68" t="s">
        <v>229</v>
      </c>
      <c r="B59" s="68">
        <v>1016352000</v>
      </c>
      <c r="C59" s="68">
        <v>994059000</v>
      </c>
      <c r="D59" s="68">
        <v>888152000</v>
      </c>
      <c r="E59" s="68">
        <v>157194000</v>
      </c>
      <c r="F59" s="68" t="s">
        <v>20</v>
      </c>
      <c r="G59" s="68" t="s">
        <v>20</v>
      </c>
      <c r="H59" s="68">
        <v>99789700</v>
      </c>
      <c r="I59" s="68">
        <v>72667600</v>
      </c>
      <c r="J59" s="68">
        <v>157372700</v>
      </c>
      <c r="K59" s="68">
        <v>105849599.99999999</v>
      </c>
      <c r="L59" s="68">
        <v>97342400</v>
      </c>
      <c r="M59" s="68">
        <v>17431800</v>
      </c>
      <c r="N59" s="68" t="s">
        <v>20</v>
      </c>
    </row>
    <row r="60" spans="1:14" x14ac:dyDescent="0.25">
      <c r="A60" s="68" t="s">
        <v>230</v>
      </c>
      <c r="B60" s="68">
        <v>41015543000</v>
      </c>
      <c r="C60" s="68">
        <v>46089830000</v>
      </c>
      <c r="D60" s="68">
        <v>12440015000</v>
      </c>
      <c r="E60" s="68">
        <v>806464000</v>
      </c>
      <c r="F60" s="68">
        <v>1417783000</v>
      </c>
      <c r="G60" s="68">
        <v>1218080800</v>
      </c>
      <c r="H60" s="68">
        <v>3760877800.0000005</v>
      </c>
      <c r="I60" s="68">
        <v>7930373300</v>
      </c>
      <c r="J60" s="68">
        <v>6102931100</v>
      </c>
      <c r="K60" s="68">
        <v>2807392199.9999995</v>
      </c>
      <c r="L60" s="68">
        <v>876758900</v>
      </c>
      <c r="M60" s="68">
        <v>422431800</v>
      </c>
      <c r="N60" s="68">
        <v>51474600</v>
      </c>
    </row>
    <row r="61" spans="1:14" x14ac:dyDescent="0.25">
      <c r="A61" s="68" t="s">
        <v>231</v>
      </c>
      <c r="B61" s="68">
        <v>171246631000</v>
      </c>
      <c r="C61" s="68">
        <v>165181687000</v>
      </c>
      <c r="D61" s="68">
        <v>101624015000</v>
      </c>
      <c r="E61" s="68">
        <v>72810313000</v>
      </c>
      <c r="F61" s="68">
        <v>74560632000</v>
      </c>
      <c r="G61" s="68">
        <v>57865462500</v>
      </c>
      <c r="H61" s="68">
        <v>54571041600</v>
      </c>
      <c r="I61" s="68">
        <v>60199570199.999992</v>
      </c>
      <c r="J61" s="68">
        <v>48412191700</v>
      </c>
      <c r="K61" s="68">
        <v>35484688400</v>
      </c>
      <c r="L61" s="68">
        <v>24748516400</v>
      </c>
      <c r="M61" s="68">
        <v>18851455100</v>
      </c>
      <c r="N61" s="68">
        <v>13540119100</v>
      </c>
    </row>
    <row r="62" spans="1:14" x14ac:dyDescent="0.25">
      <c r="A62" s="68" t="s">
        <v>232</v>
      </c>
      <c r="B62" s="68"/>
      <c r="C62" s="68"/>
      <c r="D62" s="68"/>
      <c r="E62" s="68"/>
      <c r="F62" s="68"/>
      <c r="G62" s="68"/>
      <c r="H62" s="68"/>
      <c r="I62" s="68"/>
      <c r="J62" s="68"/>
      <c r="K62" s="68"/>
      <c r="L62" s="68"/>
      <c r="M62" s="68"/>
      <c r="N62" s="68"/>
    </row>
    <row r="63" spans="1:14" x14ac:dyDescent="0.25">
      <c r="A63" s="68" t="s">
        <v>233</v>
      </c>
      <c r="B63" s="68">
        <v>6663031000</v>
      </c>
      <c r="C63" s="68">
        <v>6561053000</v>
      </c>
      <c r="D63" s="68">
        <v>6458767000</v>
      </c>
      <c r="E63" s="68">
        <v>4266839000</v>
      </c>
      <c r="F63" s="68">
        <v>4215808000</v>
      </c>
      <c r="G63" s="68">
        <v>1686323400</v>
      </c>
      <c r="H63" s="68">
        <v>1000000000</v>
      </c>
      <c r="I63" s="68">
        <v>1000000000</v>
      </c>
      <c r="J63" s="68">
        <v>1000000000</v>
      </c>
      <c r="K63" s="68">
        <v>1000000000</v>
      </c>
      <c r="L63" s="68">
        <v>1000000000</v>
      </c>
      <c r="M63" s="68">
        <v>1000000000</v>
      </c>
      <c r="N63" s="68">
        <v>500000000</v>
      </c>
    </row>
    <row r="64" spans="1:14" x14ac:dyDescent="0.25">
      <c r="A64" s="68" t="s">
        <v>234</v>
      </c>
      <c r="B64" s="68">
        <v>18451307000</v>
      </c>
      <c r="C64" s="68">
        <v>15911504000</v>
      </c>
      <c r="D64" s="68">
        <v>13596569000</v>
      </c>
      <c r="E64" s="68">
        <v>14511190000</v>
      </c>
      <c r="F64" s="68">
        <v>13024883000</v>
      </c>
      <c r="G64" s="68">
        <v>15566303940</v>
      </c>
      <c r="H64" s="68">
        <v>3037311980</v>
      </c>
      <c r="I64" s="68">
        <v>2470498820</v>
      </c>
      <c r="J64" s="68">
        <v>2171112346.6500001</v>
      </c>
      <c r="K64" s="68">
        <v>1796658951.05</v>
      </c>
      <c r="L64" s="68">
        <v>262555425.44999999</v>
      </c>
      <c r="M64" s="68">
        <v>606378864.63999999</v>
      </c>
      <c r="N64" s="68">
        <v>418098638.69</v>
      </c>
    </row>
    <row r="65" spans="1:14" x14ac:dyDescent="0.25">
      <c r="A65" s="68" t="s">
        <v>235</v>
      </c>
      <c r="B65" s="68">
        <v>4918427000</v>
      </c>
      <c r="C65" s="68">
        <v>366842000</v>
      </c>
      <c r="D65" s="68" t="s">
        <v>20</v>
      </c>
      <c r="E65" s="68" t="s">
        <v>20</v>
      </c>
      <c r="F65" s="68" t="s">
        <v>20</v>
      </c>
      <c r="G65" s="68" t="s">
        <v>20</v>
      </c>
      <c r="H65" s="68" t="s">
        <v>20</v>
      </c>
      <c r="I65" s="68" t="s">
        <v>20</v>
      </c>
      <c r="J65" s="68" t="s">
        <v>20</v>
      </c>
      <c r="K65" s="68" t="s">
        <v>20</v>
      </c>
      <c r="L65" s="68" t="s">
        <v>20</v>
      </c>
      <c r="M65" s="68" t="s">
        <v>20</v>
      </c>
      <c r="N65" s="68" t="s">
        <v>20</v>
      </c>
    </row>
    <row r="66" spans="1:14" x14ac:dyDescent="0.25">
      <c r="A66" s="68" t="s">
        <v>236</v>
      </c>
      <c r="B66" s="68">
        <v>-1332153000</v>
      </c>
      <c r="C66" s="68">
        <v>-244692000</v>
      </c>
      <c r="D66" s="68">
        <v>13125000</v>
      </c>
      <c r="E66" s="68">
        <v>-1071151000</v>
      </c>
      <c r="F66" s="68">
        <v>-774299000</v>
      </c>
      <c r="G66" s="68">
        <v>-279729800</v>
      </c>
      <c r="H66" s="68" t="s">
        <v>20</v>
      </c>
      <c r="I66" s="68" t="s">
        <v>20</v>
      </c>
      <c r="J66" s="68" t="s">
        <v>20</v>
      </c>
      <c r="K66" s="68" t="s">
        <v>20</v>
      </c>
      <c r="L66" s="68" t="s">
        <v>20</v>
      </c>
      <c r="M66" s="68" t="s">
        <v>20</v>
      </c>
      <c r="N66" s="68" t="s">
        <v>20</v>
      </c>
    </row>
    <row r="67" spans="1:14" x14ac:dyDescent="0.25">
      <c r="A67" s="68" t="s">
        <v>237</v>
      </c>
      <c r="B67" s="68">
        <v>5079096000</v>
      </c>
      <c r="C67" s="68">
        <v>3882232000</v>
      </c>
      <c r="D67" s="68">
        <v>2804469000</v>
      </c>
      <c r="E67" s="68">
        <v>1846523000</v>
      </c>
      <c r="F67" s="68">
        <v>1189791000</v>
      </c>
      <c r="G67" s="68">
        <v>569544300</v>
      </c>
      <c r="H67" s="68">
        <v>66439100</v>
      </c>
      <c r="I67" s="68">
        <v>240246699.99999997</v>
      </c>
      <c r="J67" s="68">
        <v>125927300</v>
      </c>
      <c r="K67" s="68">
        <v>21913700</v>
      </c>
      <c r="L67" s="68" t="s">
        <v>20</v>
      </c>
      <c r="M67" s="68" t="s">
        <v>20</v>
      </c>
      <c r="N67" s="68" t="s">
        <v>20</v>
      </c>
    </row>
    <row r="68" spans="1:14" x14ac:dyDescent="0.25">
      <c r="A68" s="68" t="s">
        <v>238</v>
      </c>
      <c r="B68" s="68">
        <v>58762315000</v>
      </c>
      <c r="C68" s="68">
        <v>47627235000</v>
      </c>
      <c r="D68" s="68">
        <v>38105391000</v>
      </c>
      <c r="E68" s="68">
        <v>29529827000</v>
      </c>
      <c r="F68" s="68">
        <v>21814316000</v>
      </c>
      <c r="G68" s="68">
        <v>15304989200</v>
      </c>
      <c r="H68" s="68">
        <v>10490636399.999998</v>
      </c>
      <c r="I68" s="68">
        <v>9003745500</v>
      </c>
      <c r="J68" s="68">
        <v>7683903000</v>
      </c>
      <c r="K68" s="68">
        <v>4892972700</v>
      </c>
      <c r="L68" s="68">
        <v>3908160200</v>
      </c>
      <c r="M68" s="68">
        <v>2411183500</v>
      </c>
      <c r="N68" s="68">
        <v>1039243000</v>
      </c>
    </row>
    <row r="69" spans="1:14" x14ac:dyDescent="0.25">
      <c r="A69" s="68" t="s">
        <v>239</v>
      </c>
      <c r="B69" s="68">
        <v>83072116000</v>
      </c>
      <c r="C69" s="68">
        <v>73737437000</v>
      </c>
      <c r="D69" s="68">
        <v>61126923000</v>
      </c>
      <c r="E69" s="68">
        <v>49201852000</v>
      </c>
      <c r="F69" s="68">
        <v>39470499000</v>
      </c>
      <c r="G69" s="68">
        <v>32847431000</v>
      </c>
      <c r="H69" s="68">
        <v>14313530900</v>
      </c>
      <c r="I69" s="68">
        <v>12494280700</v>
      </c>
      <c r="J69" s="68">
        <v>11032853500</v>
      </c>
      <c r="K69" s="68">
        <v>7749452700</v>
      </c>
      <c r="L69" s="68">
        <v>5177037200</v>
      </c>
      <c r="M69" s="68">
        <v>4046728600</v>
      </c>
      <c r="N69" s="68">
        <v>1957341700.0000002</v>
      </c>
    </row>
    <row r="70" spans="1:14" x14ac:dyDescent="0.25">
      <c r="A70" s="68" t="s">
        <v>240</v>
      </c>
      <c r="B70" s="68">
        <v>9382401000</v>
      </c>
      <c r="C70" s="68">
        <v>9187734000</v>
      </c>
      <c r="D70" s="68">
        <v>7849773000</v>
      </c>
      <c r="E70" s="68">
        <v>6829770000</v>
      </c>
      <c r="F70" s="68">
        <v>6260955000</v>
      </c>
      <c r="G70" s="68">
        <v>6233131200</v>
      </c>
      <c r="H70" s="68">
        <v>18851954500</v>
      </c>
      <c r="I70" s="68">
        <v>17651290900</v>
      </c>
      <c r="J70" s="68">
        <v>11515311900</v>
      </c>
      <c r="K70" s="68">
        <v>8831688900</v>
      </c>
      <c r="L70" s="68">
        <v>5973105800</v>
      </c>
      <c r="M70" s="68">
        <v>4522924300</v>
      </c>
      <c r="N70" s="68">
        <v>3903268400.0000005</v>
      </c>
    </row>
    <row r="71" spans="1:14" x14ac:dyDescent="0.25">
      <c r="A71" s="68" t="s">
        <v>241</v>
      </c>
      <c r="B71" s="68">
        <v>92454517000</v>
      </c>
      <c r="C71" s="68">
        <v>82925171000</v>
      </c>
      <c r="D71" s="68">
        <v>68976696000</v>
      </c>
      <c r="E71" s="68">
        <v>56031622000</v>
      </c>
      <c r="F71" s="68">
        <v>45731454000</v>
      </c>
      <c r="G71" s="68">
        <v>39080562300</v>
      </c>
      <c r="H71" s="68">
        <v>33165485299.999996</v>
      </c>
      <c r="I71" s="68">
        <v>30145571600</v>
      </c>
      <c r="J71" s="68">
        <v>22548165400</v>
      </c>
      <c r="K71" s="68">
        <v>16581141600</v>
      </c>
      <c r="L71" s="68">
        <v>11150143000</v>
      </c>
      <c r="M71" s="68">
        <v>8569652900</v>
      </c>
      <c r="N71" s="68">
        <v>5860610100</v>
      </c>
    </row>
    <row r="72" spans="1:14" x14ac:dyDescent="0.25">
      <c r="A72" s="68" t="s">
        <v>242</v>
      </c>
      <c r="B72" s="68">
        <v>263701148000</v>
      </c>
      <c r="C72" s="68">
        <v>248106858000</v>
      </c>
      <c r="D72" s="68">
        <v>170600711000</v>
      </c>
      <c r="E72" s="68">
        <v>128841935000</v>
      </c>
      <c r="F72" s="68">
        <v>120292086000</v>
      </c>
      <c r="G72" s="68">
        <v>96946024800</v>
      </c>
      <c r="H72" s="68">
        <v>87736527000</v>
      </c>
      <c r="I72" s="68">
        <v>90345141800</v>
      </c>
      <c r="J72" s="68">
        <v>70960357100</v>
      </c>
      <c r="K72" s="68">
        <v>52065830000</v>
      </c>
      <c r="L72" s="68">
        <v>35898659400</v>
      </c>
      <c r="M72" s="68">
        <v>27421108100</v>
      </c>
      <c r="N72" s="68">
        <v>19400729200</v>
      </c>
    </row>
  </sheetData>
  <mergeCells count="1">
    <mergeCell ref="A1:N1"/>
  </mergeCells>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40"/>
  <sheetViews>
    <sheetView workbookViewId="0">
      <selection sqref="A1:XFD1048576"/>
    </sheetView>
  </sheetViews>
  <sheetFormatPr defaultRowHeight="15" x14ac:dyDescent="0.25"/>
  <cols>
    <col min="1" max="1" width="25" style="28" customWidth="1"/>
    <col min="2" max="14" width="10" style="28" customWidth="1"/>
    <col min="15" max="256" width="9.140625" style="28"/>
    <col min="257" max="257" width="25" style="28" customWidth="1"/>
    <col min="258" max="270" width="10" style="28" customWidth="1"/>
    <col min="271" max="512" width="9.140625" style="28"/>
    <col min="513" max="513" width="25" style="28" customWidth="1"/>
    <col min="514" max="526" width="10" style="28" customWidth="1"/>
    <col min="527" max="768" width="9.140625" style="28"/>
    <col min="769" max="769" width="25" style="28" customWidth="1"/>
    <col min="770" max="782" width="10" style="28" customWidth="1"/>
    <col min="783" max="1024" width="9.140625" style="28"/>
    <col min="1025" max="1025" width="25" style="28" customWidth="1"/>
    <col min="1026" max="1038" width="10" style="28" customWidth="1"/>
    <col min="1039" max="1280" width="9.140625" style="28"/>
    <col min="1281" max="1281" width="25" style="28" customWidth="1"/>
    <col min="1282" max="1294" width="10" style="28" customWidth="1"/>
    <col min="1295" max="1536" width="9.140625" style="28"/>
    <col min="1537" max="1537" width="25" style="28" customWidth="1"/>
    <col min="1538" max="1550" width="10" style="28" customWidth="1"/>
    <col min="1551" max="1792" width="9.140625" style="28"/>
    <col min="1793" max="1793" width="25" style="28" customWidth="1"/>
    <col min="1794" max="1806" width="10" style="28" customWidth="1"/>
    <col min="1807" max="2048" width="9.140625" style="28"/>
    <col min="2049" max="2049" width="25" style="28" customWidth="1"/>
    <col min="2050" max="2062" width="10" style="28" customWidth="1"/>
    <col min="2063" max="2304" width="9.140625" style="28"/>
    <col min="2305" max="2305" width="25" style="28" customWidth="1"/>
    <col min="2306" max="2318" width="10" style="28" customWidth="1"/>
    <col min="2319" max="2560" width="9.140625" style="28"/>
    <col min="2561" max="2561" width="25" style="28" customWidth="1"/>
    <col min="2562" max="2574" width="10" style="28" customWidth="1"/>
    <col min="2575" max="2816" width="9.140625" style="28"/>
    <col min="2817" max="2817" width="25" style="28" customWidth="1"/>
    <col min="2818" max="2830" width="10" style="28" customWidth="1"/>
    <col min="2831" max="3072" width="9.140625" style="28"/>
    <col min="3073" max="3073" width="25" style="28" customWidth="1"/>
    <col min="3074" max="3086" width="10" style="28" customWidth="1"/>
    <col min="3087" max="3328" width="9.140625" style="28"/>
    <col min="3329" max="3329" width="25" style="28" customWidth="1"/>
    <col min="3330" max="3342" width="10" style="28" customWidth="1"/>
    <col min="3343" max="3584" width="9.140625" style="28"/>
    <col min="3585" max="3585" width="25" style="28" customWidth="1"/>
    <col min="3586" max="3598" width="10" style="28" customWidth="1"/>
    <col min="3599" max="3840" width="9.140625" style="28"/>
    <col min="3841" max="3841" width="25" style="28" customWidth="1"/>
    <col min="3842" max="3854" width="10" style="28" customWidth="1"/>
    <col min="3855" max="4096" width="9.140625" style="28"/>
    <col min="4097" max="4097" width="25" style="28" customWidth="1"/>
    <col min="4098" max="4110" width="10" style="28" customWidth="1"/>
    <col min="4111" max="4352" width="9.140625" style="28"/>
    <col min="4353" max="4353" width="25" style="28" customWidth="1"/>
    <col min="4354" max="4366" width="10" style="28" customWidth="1"/>
    <col min="4367" max="4608" width="9.140625" style="28"/>
    <col min="4609" max="4609" width="25" style="28" customWidth="1"/>
    <col min="4610" max="4622" width="10" style="28" customWidth="1"/>
    <col min="4623" max="4864" width="9.140625" style="28"/>
    <col min="4865" max="4865" width="25" style="28" customWidth="1"/>
    <col min="4866" max="4878" width="10" style="28" customWidth="1"/>
    <col min="4879" max="5120" width="9.140625" style="28"/>
    <col min="5121" max="5121" width="25" style="28" customWidth="1"/>
    <col min="5122" max="5134" width="10" style="28" customWidth="1"/>
    <col min="5135" max="5376" width="9.140625" style="28"/>
    <col min="5377" max="5377" width="25" style="28" customWidth="1"/>
    <col min="5378" max="5390" width="10" style="28" customWidth="1"/>
    <col min="5391" max="5632" width="9.140625" style="28"/>
    <col min="5633" max="5633" width="25" style="28" customWidth="1"/>
    <col min="5634" max="5646" width="10" style="28" customWidth="1"/>
    <col min="5647" max="5888" width="9.140625" style="28"/>
    <col min="5889" max="5889" width="25" style="28" customWidth="1"/>
    <col min="5890" max="5902" width="10" style="28" customWidth="1"/>
    <col min="5903" max="6144" width="9.140625" style="28"/>
    <col min="6145" max="6145" width="25" style="28" customWidth="1"/>
    <col min="6146" max="6158" width="10" style="28" customWidth="1"/>
    <col min="6159" max="6400" width="9.140625" style="28"/>
    <col min="6401" max="6401" width="25" style="28" customWidth="1"/>
    <col min="6402" max="6414" width="10" style="28" customWidth="1"/>
    <col min="6415" max="6656" width="9.140625" style="28"/>
    <col min="6657" max="6657" width="25" style="28" customWidth="1"/>
    <col min="6658" max="6670" width="10" style="28" customWidth="1"/>
    <col min="6671" max="6912" width="9.140625" style="28"/>
    <col min="6913" max="6913" width="25" style="28" customWidth="1"/>
    <col min="6914" max="6926" width="10" style="28" customWidth="1"/>
    <col min="6927" max="7168" width="9.140625" style="28"/>
    <col min="7169" max="7169" width="25" style="28" customWidth="1"/>
    <col min="7170" max="7182" width="10" style="28" customWidth="1"/>
    <col min="7183" max="7424" width="9.140625" style="28"/>
    <col min="7425" max="7425" width="25" style="28" customWidth="1"/>
    <col min="7426" max="7438" width="10" style="28" customWidth="1"/>
    <col min="7439" max="7680" width="9.140625" style="28"/>
    <col min="7681" max="7681" width="25" style="28" customWidth="1"/>
    <col min="7682" max="7694" width="10" style="28" customWidth="1"/>
    <col min="7695" max="7936" width="9.140625" style="28"/>
    <col min="7937" max="7937" width="25" style="28" customWidth="1"/>
    <col min="7938" max="7950" width="10" style="28" customWidth="1"/>
    <col min="7951" max="8192" width="9.140625" style="28"/>
    <col min="8193" max="8193" width="25" style="28" customWidth="1"/>
    <col min="8194" max="8206" width="10" style="28" customWidth="1"/>
    <col min="8207" max="8448" width="9.140625" style="28"/>
    <col min="8449" max="8449" width="25" style="28" customWidth="1"/>
    <col min="8450" max="8462" width="10" style="28" customWidth="1"/>
    <col min="8463" max="8704" width="9.140625" style="28"/>
    <col min="8705" max="8705" width="25" style="28" customWidth="1"/>
    <col min="8706" max="8718" width="10" style="28" customWidth="1"/>
    <col min="8719" max="8960" width="9.140625" style="28"/>
    <col min="8961" max="8961" width="25" style="28" customWidth="1"/>
    <col min="8962" max="8974" width="10" style="28" customWidth="1"/>
    <col min="8975" max="9216" width="9.140625" style="28"/>
    <col min="9217" max="9217" width="25" style="28" customWidth="1"/>
    <col min="9218" max="9230" width="10" style="28" customWidth="1"/>
    <col min="9231" max="9472" width="9.140625" style="28"/>
    <col min="9473" max="9473" width="25" style="28" customWidth="1"/>
    <col min="9474" max="9486" width="10" style="28" customWidth="1"/>
    <col min="9487" max="9728" width="9.140625" style="28"/>
    <col min="9729" max="9729" width="25" style="28" customWidth="1"/>
    <col min="9730" max="9742" width="10" style="28" customWidth="1"/>
    <col min="9743" max="9984" width="9.140625" style="28"/>
    <col min="9985" max="9985" width="25" style="28" customWidth="1"/>
    <col min="9986" max="9998" width="10" style="28" customWidth="1"/>
    <col min="9999" max="10240" width="9.140625" style="28"/>
    <col min="10241" max="10241" width="25" style="28" customWidth="1"/>
    <col min="10242" max="10254" width="10" style="28" customWidth="1"/>
    <col min="10255" max="10496" width="9.140625" style="28"/>
    <col min="10497" max="10497" width="25" style="28" customWidth="1"/>
    <col min="10498" max="10510" width="10" style="28" customWidth="1"/>
    <col min="10511" max="10752" width="9.140625" style="28"/>
    <col min="10753" max="10753" width="25" style="28" customWidth="1"/>
    <col min="10754" max="10766" width="10" style="28" customWidth="1"/>
    <col min="10767" max="11008" width="9.140625" style="28"/>
    <col min="11009" max="11009" width="25" style="28" customWidth="1"/>
    <col min="11010" max="11022" width="10" style="28" customWidth="1"/>
    <col min="11023" max="11264" width="9.140625" style="28"/>
    <col min="11265" max="11265" width="25" style="28" customWidth="1"/>
    <col min="11266" max="11278" width="10" style="28" customWidth="1"/>
    <col min="11279" max="11520" width="9.140625" style="28"/>
    <col min="11521" max="11521" width="25" style="28" customWidth="1"/>
    <col min="11522" max="11534" width="10" style="28" customWidth="1"/>
    <col min="11535" max="11776" width="9.140625" style="28"/>
    <col min="11777" max="11777" width="25" style="28" customWidth="1"/>
    <col min="11778" max="11790" width="10" style="28" customWidth="1"/>
    <col min="11791" max="12032" width="9.140625" style="28"/>
    <col min="12033" max="12033" width="25" style="28" customWidth="1"/>
    <col min="12034" max="12046" width="10" style="28" customWidth="1"/>
    <col min="12047" max="12288" width="9.140625" style="28"/>
    <col min="12289" max="12289" width="25" style="28" customWidth="1"/>
    <col min="12290" max="12302" width="10" style="28" customWidth="1"/>
    <col min="12303" max="12544" width="9.140625" style="28"/>
    <col min="12545" max="12545" width="25" style="28" customWidth="1"/>
    <col min="12546" max="12558" width="10" style="28" customWidth="1"/>
    <col min="12559" max="12800" width="9.140625" style="28"/>
    <col min="12801" max="12801" width="25" style="28" customWidth="1"/>
    <col min="12802" max="12814" width="10" style="28" customWidth="1"/>
    <col min="12815" max="13056" width="9.140625" style="28"/>
    <col min="13057" max="13057" width="25" style="28" customWidth="1"/>
    <col min="13058" max="13070" width="10" style="28" customWidth="1"/>
    <col min="13071" max="13312" width="9.140625" style="28"/>
    <col min="13313" max="13313" width="25" style="28" customWidth="1"/>
    <col min="13314" max="13326" width="10" style="28" customWidth="1"/>
    <col min="13327" max="13568" width="9.140625" style="28"/>
    <col min="13569" max="13569" width="25" style="28" customWidth="1"/>
    <col min="13570" max="13582" width="10" style="28" customWidth="1"/>
    <col min="13583" max="13824" width="9.140625" style="28"/>
    <col min="13825" max="13825" width="25" style="28" customWidth="1"/>
    <col min="13826" max="13838" width="10" style="28" customWidth="1"/>
    <col min="13839" max="14080" width="9.140625" style="28"/>
    <col min="14081" max="14081" width="25" style="28" customWidth="1"/>
    <col min="14082" max="14094" width="10" style="28" customWidth="1"/>
    <col min="14095" max="14336" width="9.140625" style="28"/>
    <col min="14337" max="14337" width="25" style="28" customWidth="1"/>
    <col min="14338" max="14350" width="10" style="28" customWidth="1"/>
    <col min="14351" max="14592" width="9.140625" style="28"/>
    <col min="14593" max="14593" width="25" style="28" customWidth="1"/>
    <col min="14594" max="14606" width="10" style="28" customWidth="1"/>
    <col min="14607" max="14848" width="9.140625" style="28"/>
    <col min="14849" max="14849" width="25" style="28" customWidth="1"/>
    <col min="14850" max="14862" width="10" style="28" customWidth="1"/>
    <col min="14863" max="15104" width="9.140625" style="28"/>
    <col min="15105" max="15105" width="25" style="28" customWidth="1"/>
    <col min="15106" max="15118" width="10" style="28" customWidth="1"/>
    <col min="15119" max="15360" width="9.140625" style="28"/>
    <col min="15361" max="15361" width="25" style="28" customWidth="1"/>
    <col min="15362" max="15374" width="10" style="28" customWidth="1"/>
    <col min="15375" max="15616" width="9.140625" style="28"/>
    <col min="15617" max="15617" width="25" style="28" customWidth="1"/>
    <col min="15618" max="15630" width="10" style="28" customWidth="1"/>
    <col min="15631" max="15872" width="9.140625" style="28"/>
    <col min="15873" max="15873" width="25" style="28" customWidth="1"/>
    <col min="15874" max="15886" width="10" style="28" customWidth="1"/>
    <col min="15887" max="16128" width="9.140625" style="28"/>
    <col min="16129" max="16129" width="25" style="28" customWidth="1"/>
    <col min="16130" max="16142" width="10" style="28" customWidth="1"/>
    <col min="16143" max="16384" width="9.140625" style="28"/>
  </cols>
  <sheetData>
    <row r="1" spans="1:14" x14ac:dyDescent="0.25">
      <c r="A1" s="77"/>
      <c r="B1" s="77"/>
      <c r="C1" s="77"/>
      <c r="D1" s="77"/>
      <c r="E1" s="77"/>
      <c r="F1" s="77"/>
      <c r="G1" s="77"/>
      <c r="H1" s="77"/>
      <c r="I1" s="77"/>
      <c r="J1" s="77"/>
      <c r="K1" s="77"/>
      <c r="L1" s="77"/>
      <c r="M1" s="77"/>
      <c r="N1" s="77"/>
    </row>
    <row r="2" spans="1:14" x14ac:dyDescent="0.25">
      <c r="A2" s="28" t="s">
        <v>0</v>
      </c>
      <c r="B2" s="28">
        <v>2018</v>
      </c>
      <c r="C2" s="28">
        <v>2017</v>
      </c>
      <c r="D2" s="28">
        <v>2016</v>
      </c>
      <c r="E2" s="28">
        <v>2015</v>
      </c>
      <c r="F2" s="28">
        <v>2014</v>
      </c>
      <c r="G2" s="28">
        <v>2013</v>
      </c>
      <c r="H2" s="28">
        <v>2012</v>
      </c>
      <c r="I2" s="28">
        <v>2011</v>
      </c>
      <c r="J2" s="28">
        <v>2010</v>
      </c>
      <c r="K2" s="28">
        <v>2009</v>
      </c>
      <c r="L2" s="28">
        <v>2008</v>
      </c>
      <c r="M2" s="28">
        <v>2007</v>
      </c>
      <c r="N2" s="28">
        <v>2006</v>
      </c>
    </row>
    <row r="3" spans="1:14" ht="16.5" x14ac:dyDescent="0.3">
      <c r="A3" s="69" t="s">
        <v>331</v>
      </c>
      <c r="B3" s="68">
        <v>261819635000</v>
      </c>
      <c r="C3" s="68">
        <v>241918896000</v>
      </c>
      <c r="D3" s="68">
        <v>159841701000</v>
      </c>
      <c r="E3" s="68">
        <v>139347124000</v>
      </c>
      <c r="F3" s="68">
        <v>142310967000</v>
      </c>
      <c r="G3" s="68">
        <v>121265180020</v>
      </c>
      <c r="H3" s="68">
        <v>102713022570</v>
      </c>
      <c r="I3" s="68">
        <v>134116154200</v>
      </c>
      <c r="J3" s="68">
        <v>110263072250</v>
      </c>
      <c r="K3" s="68">
        <v>69043312610.649994</v>
      </c>
      <c r="L3" s="68">
        <v>63992087064.07</v>
      </c>
      <c r="M3" s="68">
        <v>47920570189.519997</v>
      </c>
      <c r="N3" s="68">
        <v>35190457861.690002</v>
      </c>
    </row>
    <row r="4" spans="1:14" x14ac:dyDescent="0.25">
      <c r="A4" s="68" t="s">
        <v>5</v>
      </c>
      <c r="B4" s="68">
        <v>259664820000</v>
      </c>
      <c r="C4" s="68">
        <v>240712301000</v>
      </c>
      <c r="D4" s="68">
        <v>159044041000</v>
      </c>
      <c r="E4" s="68">
        <v>138441226000</v>
      </c>
      <c r="F4" s="68">
        <v>141668175000</v>
      </c>
      <c r="G4" s="68">
        <v>120975003140</v>
      </c>
      <c r="H4" s="68">
        <v>102598110490</v>
      </c>
      <c r="I4" s="68">
        <v>134045649270</v>
      </c>
      <c r="J4" s="68">
        <v>110253261490</v>
      </c>
      <c r="K4" s="68">
        <v>69043312610.649994</v>
      </c>
      <c r="L4" s="68">
        <v>63992087064.07</v>
      </c>
      <c r="M4" s="68">
        <v>47920570189.519997</v>
      </c>
      <c r="N4" s="68">
        <v>35190457861.690002</v>
      </c>
    </row>
    <row r="5" spans="1:14" x14ac:dyDescent="0.25">
      <c r="A5" s="68" t="s">
        <v>6</v>
      </c>
      <c r="B5" s="68">
        <v>237634370000</v>
      </c>
      <c r="C5" s="68">
        <v>224734592000</v>
      </c>
      <c r="D5" s="68">
        <v>143809063000</v>
      </c>
      <c r="E5" s="68">
        <v>126523131000</v>
      </c>
      <c r="F5" s="68">
        <v>129718795000</v>
      </c>
      <c r="G5" s="68">
        <v>113485774100</v>
      </c>
      <c r="H5" s="68">
        <v>96260434000</v>
      </c>
      <c r="I5" s="68">
        <v>127499213000</v>
      </c>
      <c r="J5" s="68">
        <v>105282443300</v>
      </c>
      <c r="K5" s="68">
        <v>65010704500</v>
      </c>
      <c r="L5" s="68">
        <v>61673715700</v>
      </c>
      <c r="M5" s="68">
        <v>45966440599.999992</v>
      </c>
      <c r="N5" s="68">
        <v>33764097000</v>
      </c>
    </row>
    <row r="6" spans="1:14" x14ac:dyDescent="0.25">
      <c r="A6" s="68" t="s">
        <v>7</v>
      </c>
      <c r="B6" s="68">
        <v>188164557000</v>
      </c>
      <c r="C6" s="68">
        <v>180460552000</v>
      </c>
      <c r="D6" s="68">
        <v>115615437000</v>
      </c>
      <c r="E6" s="68">
        <v>102662818000</v>
      </c>
      <c r="F6" s="68">
        <v>105669686000</v>
      </c>
      <c r="G6" s="68">
        <v>92818063100</v>
      </c>
      <c r="H6" s="68">
        <v>79449035900</v>
      </c>
      <c r="I6" s="68">
        <v>108418755300</v>
      </c>
      <c r="J6" s="68">
        <v>90224295700</v>
      </c>
      <c r="K6" s="68">
        <v>53446834300</v>
      </c>
      <c r="L6" s="68">
        <v>51910742600</v>
      </c>
      <c r="M6" s="68">
        <v>38552840500</v>
      </c>
      <c r="N6" s="68">
        <v>28851196700</v>
      </c>
    </row>
    <row r="7" spans="1:14" x14ac:dyDescent="0.25">
      <c r="A7" s="68" t="s">
        <v>8</v>
      </c>
      <c r="B7" s="68">
        <v>1617566000</v>
      </c>
      <c r="C7" s="68">
        <v>1416428000</v>
      </c>
      <c r="D7" s="68">
        <v>1077119000</v>
      </c>
      <c r="E7" s="68">
        <v>911330000</v>
      </c>
      <c r="F7" s="68">
        <v>809596000</v>
      </c>
      <c r="G7" s="68">
        <v>609932600</v>
      </c>
      <c r="H7" s="68">
        <v>577913100</v>
      </c>
      <c r="I7" s="68">
        <v>761094400</v>
      </c>
      <c r="J7" s="68">
        <v>412754400</v>
      </c>
      <c r="K7" s="68">
        <v>202475700</v>
      </c>
      <c r="L7" s="68">
        <v>137576700</v>
      </c>
      <c r="M7" s="68">
        <v>69151200</v>
      </c>
      <c r="N7" s="68">
        <v>34770800</v>
      </c>
    </row>
    <row r="8" spans="1:14" x14ac:dyDescent="0.25">
      <c r="A8" s="68" t="s">
        <v>9</v>
      </c>
      <c r="B8" s="68">
        <v>31085879000</v>
      </c>
      <c r="C8" s="68">
        <v>26738673000</v>
      </c>
      <c r="D8" s="68">
        <v>17678451000</v>
      </c>
      <c r="E8" s="68">
        <v>14799769000</v>
      </c>
      <c r="F8" s="68">
        <v>14733917000</v>
      </c>
      <c r="G8" s="68">
        <v>12432343899.999998</v>
      </c>
      <c r="H8" s="68">
        <v>9389868500</v>
      </c>
      <c r="I8" s="68">
        <v>11630020900</v>
      </c>
      <c r="J8" s="68">
        <v>9090252500</v>
      </c>
      <c r="K8" s="68">
        <v>8168533400</v>
      </c>
      <c r="L8" s="68">
        <v>6166538700</v>
      </c>
      <c r="M8" s="68">
        <v>4802127600</v>
      </c>
      <c r="N8" s="68">
        <v>3373403800</v>
      </c>
    </row>
    <row r="9" spans="1:14" x14ac:dyDescent="0.25">
      <c r="A9" s="68" t="s">
        <v>10</v>
      </c>
      <c r="B9" s="68">
        <v>9571639000</v>
      </c>
      <c r="C9" s="68">
        <v>7510102000</v>
      </c>
      <c r="D9" s="68">
        <v>9620777000</v>
      </c>
      <c r="E9" s="68">
        <v>7441755000</v>
      </c>
      <c r="F9" s="68">
        <v>7498256000</v>
      </c>
      <c r="G9" s="68">
        <v>6733456300</v>
      </c>
      <c r="H9" s="68">
        <v>5925780800</v>
      </c>
      <c r="I9" s="68">
        <v>5198478700</v>
      </c>
      <c r="J9" s="68">
        <v>4721785600</v>
      </c>
      <c r="K9" s="68">
        <v>2515655900</v>
      </c>
      <c r="L9" s="68">
        <v>2543263900</v>
      </c>
      <c r="M9" s="68">
        <v>2040249500</v>
      </c>
      <c r="N9" s="68">
        <v>1246112300</v>
      </c>
    </row>
    <row r="10" spans="1:14" x14ac:dyDescent="0.25">
      <c r="A10" s="68" t="s">
        <v>11</v>
      </c>
      <c r="B10" s="68">
        <v>8377201000</v>
      </c>
      <c r="C10" s="68">
        <v>7270134000</v>
      </c>
      <c r="D10" s="68" t="s">
        <v>20</v>
      </c>
      <c r="E10" s="68" t="s">
        <v>20</v>
      </c>
      <c r="F10" s="68" t="s">
        <v>20</v>
      </c>
      <c r="G10" s="68" t="s">
        <v>20</v>
      </c>
      <c r="H10" s="68" t="s">
        <v>20</v>
      </c>
      <c r="I10" s="68" t="s">
        <v>20</v>
      </c>
      <c r="J10" s="68" t="s">
        <v>20</v>
      </c>
      <c r="K10" s="68" t="s">
        <v>20</v>
      </c>
      <c r="L10" s="68" t="s">
        <v>20</v>
      </c>
      <c r="M10" s="68" t="s">
        <v>20</v>
      </c>
      <c r="N10" s="68" t="s">
        <v>20</v>
      </c>
    </row>
    <row r="11" spans="1:14" x14ac:dyDescent="0.25">
      <c r="A11" s="68" t="s">
        <v>287</v>
      </c>
      <c r="B11" s="68">
        <v>-1823040000</v>
      </c>
      <c r="C11" s="68">
        <v>815949000</v>
      </c>
      <c r="D11" s="68">
        <v>-1005979000</v>
      </c>
      <c r="E11" s="68">
        <v>138932000</v>
      </c>
      <c r="F11" s="68">
        <v>251327000</v>
      </c>
      <c r="G11" s="68">
        <v>564220500</v>
      </c>
      <c r="H11" s="68">
        <v>807047800</v>
      </c>
      <c r="I11" s="68">
        <v>1449065700</v>
      </c>
      <c r="J11" s="68">
        <v>783322899.99999988</v>
      </c>
      <c r="K11" s="68">
        <v>469176100</v>
      </c>
      <c r="L11" s="68">
        <v>766012000</v>
      </c>
      <c r="M11" s="68">
        <v>422160000</v>
      </c>
      <c r="N11" s="68">
        <v>258613300.00000003</v>
      </c>
    </row>
    <row r="12" spans="1:14" x14ac:dyDescent="0.25">
      <c r="A12" s="68" t="s">
        <v>302</v>
      </c>
      <c r="B12" s="68">
        <v>703991000</v>
      </c>
      <c r="C12" s="68">
        <v>967208000</v>
      </c>
      <c r="D12" s="68" t="s">
        <v>20</v>
      </c>
      <c r="E12" s="68" t="s">
        <v>20</v>
      </c>
      <c r="F12" s="68" t="s">
        <v>20</v>
      </c>
      <c r="G12" s="68" t="s">
        <v>20</v>
      </c>
      <c r="H12" s="68" t="s">
        <v>20</v>
      </c>
      <c r="I12" s="68" t="s">
        <v>20</v>
      </c>
      <c r="J12" s="68" t="s">
        <v>20</v>
      </c>
      <c r="K12" s="68" t="s">
        <v>20</v>
      </c>
      <c r="L12" s="68" t="s">
        <v>20</v>
      </c>
      <c r="M12" s="68" t="s">
        <v>20</v>
      </c>
      <c r="N12" s="68" t="s">
        <v>20</v>
      </c>
    </row>
    <row r="13" spans="1:14" x14ac:dyDescent="0.25">
      <c r="A13" s="68" t="s">
        <v>303</v>
      </c>
      <c r="B13" s="68">
        <v>2155862000</v>
      </c>
      <c r="C13" s="68">
        <v>1143837000</v>
      </c>
      <c r="D13" s="68" t="s">
        <v>20</v>
      </c>
      <c r="E13" s="68" t="s">
        <v>20</v>
      </c>
      <c r="F13" s="68" t="s">
        <v>20</v>
      </c>
      <c r="G13" s="68" t="s">
        <v>20</v>
      </c>
      <c r="H13" s="68" t="s">
        <v>20</v>
      </c>
      <c r="I13" s="68" t="s">
        <v>20</v>
      </c>
      <c r="J13" s="68" t="s">
        <v>20</v>
      </c>
      <c r="K13" s="68" t="s">
        <v>20</v>
      </c>
      <c r="L13" s="68" t="s">
        <v>20</v>
      </c>
      <c r="M13" s="68" t="s">
        <v>20</v>
      </c>
      <c r="N13" s="68" t="s">
        <v>20</v>
      </c>
    </row>
    <row r="14" spans="1:14" x14ac:dyDescent="0.25">
      <c r="A14" s="68" t="s">
        <v>304</v>
      </c>
      <c r="B14" s="68">
        <v>447864000</v>
      </c>
      <c r="C14" s="68">
        <v>269112000</v>
      </c>
      <c r="D14" s="68">
        <v>380812000</v>
      </c>
      <c r="E14" s="68">
        <v>4766000</v>
      </c>
      <c r="F14" s="68">
        <v>349818000</v>
      </c>
      <c r="G14" s="68">
        <v>122715500</v>
      </c>
      <c r="H14" s="68">
        <v>48876400</v>
      </c>
      <c r="I14" s="68">
        <v>41797900</v>
      </c>
      <c r="J14" s="68">
        <v>50032100</v>
      </c>
      <c r="K14" s="68">
        <v>208029000</v>
      </c>
      <c r="L14" s="68">
        <v>149581900</v>
      </c>
      <c r="M14" s="68">
        <v>79911900</v>
      </c>
      <c r="N14" s="68" t="s">
        <v>20</v>
      </c>
    </row>
    <row r="15" spans="1:14" x14ac:dyDescent="0.25">
      <c r="A15" s="68" t="s">
        <v>305</v>
      </c>
      <c r="B15" s="68" t="s">
        <v>20</v>
      </c>
      <c r="C15" s="68" t="s">
        <v>20</v>
      </c>
      <c r="D15" s="68" t="s">
        <v>20</v>
      </c>
      <c r="E15" s="68" t="s">
        <v>20</v>
      </c>
      <c r="F15" s="68" t="s">
        <v>20</v>
      </c>
      <c r="G15" s="68" t="s">
        <v>20</v>
      </c>
      <c r="H15" s="68" t="s">
        <v>20</v>
      </c>
      <c r="I15" s="68" t="s">
        <v>20</v>
      </c>
      <c r="J15" s="68" t="s">
        <v>20</v>
      </c>
      <c r="K15" s="68" t="s">
        <v>20</v>
      </c>
      <c r="L15" s="68" t="s">
        <v>20</v>
      </c>
      <c r="M15" s="68" t="s">
        <v>20</v>
      </c>
      <c r="N15" s="68" t="s">
        <v>20</v>
      </c>
    </row>
    <row r="16" spans="1:14" x14ac:dyDescent="0.25">
      <c r="A16" s="68" t="s">
        <v>306</v>
      </c>
      <c r="B16" s="68">
        <v>-810450000</v>
      </c>
      <c r="C16" s="68">
        <v>-25045000</v>
      </c>
      <c r="D16" s="68">
        <v>117376000</v>
      </c>
      <c r="E16" s="68">
        <v>81611000</v>
      </c>
      <c r="F16" s="68">
        <v>-652791000</v>
      </c>
      <c r="G16" s="68">
        <v>546266000</v>
      </c>
      <c r="H16" s="68">
        <v>17752900</v>
      </c>
      <c r="I16" s="68">
        <v>54997100</v>
      </c>
      <c r="J16" s="68">
        <v>119222300</v>
      </c>
      <c r="K16" s="68">
        <v>-132307000</v>
      </c>
      <c r="L16" s="68">
        <v>319013100</v>
      </c>
      <c r="M16" s="68">
        <v>59964200</v>
      </c>
      <c r="N16" s="68" t="s">
        <v>20</v>
      </c>
    </row>
    <row r="17" spans="1:14" x14ac:dyDescent="0.25">
      <c r="A17" s="68" t="s">
        <v>307</v>
      </c>
      <c r="B17" s="68">
        <v>907326000</v>
      </c>
      <c r="C17" s="68">
        <v>1830221000</v>
      </c>
      <c r="D17" s="68">
        <v>1285961000</v>
      </c>
      <c r="E17" s="68">
        <v>2011269000</v>
      </c>
      <c r="F17" s="68">
        <v>1511122000</v>
      </c>
      <c r="G17" s="68">
        <v>997978950</v>
      </c>
      <c r="H17" s="68">
        <v>534518150</v>
      </c>
      <c r="I17" s="68">
        <v>802215170</v>
      </c>
      <c r="J17" s="68">
        <v>442342240</v>
      </c>
      <c r="K17" s="68">
        <v>-245383676.59999999</v>
      </c>
      <c r="L17" s="68">
        <v>180231647.16</v>
      </c>
      <c r="M17" s="68">
        <v>711995040.57000005</v>
      </c>
      <c r="N17" s="68">
        <v>91817971.209999993</v>
      </c>
    </row>
    <row r="18" spans="1:14" x14ac:dyDescent="0.25">
      <c r="A18" s="68" t="s">
        <v>308</v>
      </c>
      <c r="B18" s="68">
        <v>349321000</v>
      </c>
      <c r="C18" s="68">
        <v>310016000</v>
      </c>
      <c r="D18" s="68">
        <v>165904000</v>
      </c>
      <c r="E18" s="68">
        <v>420744000</v>
      </c>
      <c r="F18" s="68">
        <v>94739000</v>
      </c>
      <c r="G18" s="68">
        <v>37265400</v>
      </c>
      <c r="H18" s="68">
        <v>43864700</v>
      </c>
      <c r="I18" s="68">
        <v>157324300</v>
      </c>
      <c r="J18" s="68">
        <v>160238500</v>
      </c>
      <c r="K18" s="68" t="s">
        <v>20</v>
      </c>
      <c r="L18" s="68" t="s">
        <v>20</v>
      </c>
      <c r="M18" s="68" t="s">
        <v>20</v>
      </c>
      <c r="N18" s="68" t="s">
        <v>20</v>
      </c>
    </row>
    <row r="19" spans="1:14" x14ac:dyDescent="0.25">
      <c r="A19" s="68" t="s">
        <v>309</v>
      </c>
      <c r="B19" s="68">
        <v>-34934000</v>
      </c>
      <c r="C19" s="68">
        <v>1327251000</v>
      </c>
      <c r="D19" s="68">
        <v>-111874000</v>
      </c>
      <c r="E19" s="68" t="s">
        <v>20</v>
      </c>
      <c r="F19" s="68" t="s">
        <v>20</v>
      </c>
      <c r="G19" s="68" t="s">
        <v>20</v>
      </c>
      <c r="H19" s="68" t="s">
        <v>20</v>
      </c>
      <c r="I19" s="68" t="s">
        <v>20</v>
      </c>
      <c r="J19" s="68" t="s">
        <v>20</v>
      </c>
      <c r="K19" s="68" t="s">
        <v>20</v>
      </c>
      <c r="L19" s="68" t="s">
        <v>20</v>
      </c>
      <c r="M19" s="68" t="s">
        <v>20</v>
      </c>
      <c r="N19" s="68" t="s">
        <v>20</v>
      </c>
    </row>
    <row r="20" spans="1:14" x14ac:dyDescent="0.25">
      <c r="A20" s="68" t="s">
        <v>310</v>
      </c>
      <c r="B20" s="68">
        <v>1316904000</v>
      </c>
      <c r="C20" s="68">
        <v>1311123000</v>
      </c>
      <c r="D20" s="68" t="s">
        <v>20</v>
      </c>
      <c r="E20" s="68" t="s">
        <v>20</v>
      </c>
      <c r="F20" s="68" t="s">
        <v>20</v>
      </c>
      <c r="G20" s="68" t="s">
        <v>20</v>
      </c>
      <c r="H20" s="68" t="s">
        <v>20</v>
      </c>
      <c r="I20" s="68" t="s">
        <v>20</v>
      </c>
      <c r="J20" s="68" t="s">
        <v>20</v>
      </c>
      <c r="K20" s="68" t="s">
        <v>20</v>
      </c>
      <c r="L20" s="68" t="s">
        <v>20</v>
      </c>
      <c r="M20" s="68" t="s">
        <v>20</v>
      </c>
      <c r="N20" s="68" t="s">
        <v>20</v>
      </c>
    </row>
    <row r="21" spans="1:14" x14ac:dyDescent="0.25">
      <c r="A21" s="68" t="s">
        <v>311</v>
      </c>
      <c r="B21" s="68">
        <v>25564111000</v>
      </c>
      <c r="C21" s="68">
        <v>21627854000</v>
      </c>
      <c r="D21" s="68">
        <v>17324101000</v>
      </c>
      <c r="E21" s="68">
        <v>14916873000</v>
      </c>
      <c r="F21" s="68">
        <v>13450503000</v>
      </c>
      <c r="G21" s="68">
        <v>9323650810</v>
      </c>
      <c r="H21" s="68">
        <v>7004859570</v>
      </c>
      <c r="I21" s="68">
        <v>7474153510</v>
      </c>
      <c r="J21" s="68">
        <v>5542193520</v>
      </c>
      <c r="K21" s="68">
        <v>3654917447.04</v>
      </c>
      <c r="L21" s="68">
        <v>2817616087.04</v>
      </c>
      <c r="M21" s="68">
        <v>2726088781.7800002</v>
      </c>
      <c r="N21" s="68">
        <v>1696844967.8299999</v>
      </c>
    </row>
    <row r="22" spans="1:14" x14ac:dyDescent="0.25">
      <c r="A22" s="68" t="s">
        <v>312</v>
      </c>
      <c r="B22" s="68">
        <v>434756000</v>
      </c>
      <c r="C22" s="68">
        <v>467204000</v>
      </c>
      <c r="D22" s="68">
        <v>1758220000</v>
      </c>
      <c r="E22" s="68">
        <v>1707039000</v>
      </c>
      <c r="F22" s="68">
        <v>1057069000</v>
      </c>
      <c r="G22" s="68">
        <v>1005224299.9999999</v>
      </c>
      <c r="H22" s="68">
        <v>926929400</v>
      </c>
      <c r="I22" s="68">
        <v>946255600</v>
      </c>
      <c r="J22" s="68">
        <v>2752869099.9999995</v>
      </c>
      <c r="K22" s="68">
        <v>554587100</v>
      </c>
      <c r="L22" s="68">
        <v>238569900.00000003</v>
      </c>
      <c r="M22" s="68">
        <v>223394800</v>
      </c>
      <c r="N22" s="68">
        <v>38196400</v>
      </c>
    </row>
    <row r="23" spans="1:14" x14ac:dyDescent="0.25">
      <c r="A23" s="68" t="s">
        <v>313</v>
      </c>
      <c r="B23" s="68" t="s">
        <v>20</v>
      </c>
      <c r="C23" s="68" t="s">
        <v>20</v>
      </c>
      <c r="D23" s="68" t="s">
        <v>20</v>
      </c>
      <c r="E23" s="68">
        <v>53084000</v>
      </c>
      <c r="F23" s="68">
        <v>53602000</v>
      </c>
      <c r="G23" s="68">
        <v>31101000</v>
      </c>
      <c r="H23" s="68" t="s">
        <v>20</v>
      </c>
      <c r="I23" s="68" t="s">
        <v>20</v>
      </c>
      <c r="J23" s="68" t="s">
        <v>20</v>
      </c>
      <c r="K23" s="68" t="s">
        <v>20</v>
      </c>
      <c r="L23" s="68" t="s">
        <v>20</v>
      </c>
      <c r="M23" s="68" t="s">
        <v>20</v>
      </c>
      <c r="N23" s="68" t="s">
        <v>20</v>
      </c>
    </row>
    <row r="24" spans="1:14" x14ac:dyDescent="0.25">
      <c r="A24" s="68" t="s">
        <v>314</v>
      </c>
      <c r="B24" s="68">
        <v>225809000</v>
      </c>
      <c r="C24" s="68">
        <v>240284000</v>
      </c>
      <c r="D24" s="68">
        <v>167718000</v>
      </c>
      <c r="E24" s="68">
        <v>572558000</v>
      </c>
      <c r="F24" s="68">
        <v>516888000</v>
      </c>
      <c r="G24" s="68">
        <v>317103100</v>
      </c>
      <c r="H24" s="68">
        <v>222278000</v>
      </c>
      <c r="I24" s="68">
        <v>190975600</v>
      </c>
      <c r="J24" s="68">
        <v>364648200</v>
      </c>
      <c r="K24" s="68">
        <v>238064600</v>
      </c>
      <c r="L24" s="68">
        <v>114257900.00000001</v>
      </c>
      <c r="M24" s="68">
        <v>82717700</v>
      </c>
      <c r="N24" s="68">
        <v>42009500</v>
      </c>
    </row>
    <row r="25" spans="1:14" x14ac:dyDescent="0.25">
      <c r="A25" s="68" t="s">
        <v>315</v>
      </c>
      <c r="B25" s="68" t="s">
        <v>20</v>
      </c>
      <c r="C25" s="68" t="s">
        <v>20</v>
      </c>
      <c r="D25" s="68" t="s">
        <v>20</v>
      </c>
      <c r="E25" s="68">
        <v>287167000</v>
      </c>
      <c r="F25" s="68">
        <v>270391000</v>
      </c>
      <c r="G25" s="68">
        <v>198119500</v>
      </c>
      <c r="H25" s="68">
        <v>134545900</v>
      </c>
      <c r="I25" s="68">
        <v>88046100</v>
      </c>
      <c r="J25" s="68">
        <v>224518400</v>
      </c>
      <c r="K25" s="68" t="s">
        <v>20</v>
      </c>
      <c r="L25" s="68">
        <v>43033300</v>
      </c>
      <c r="M25" s="68">
        <v>53755900</v>
      </c>
      <c r="N25" s="68" t="s">
        <v>20</v>
      </c>
    </row>
    <row r="26" spans="1:14" x14ac:dyDescent="0.25">
      <c r="A26" s="68" t="s">
        <v>316</v>
      </c>
      <c r="B26" s="68">
        <v>25773058000</v>
      </c>
      <c r="C26" s="68">
        <v>21854774000</v>
      </c>
      <c r="D26" s="68">
        <v>18914603000</v>
      </c>
      <c r="E26" s="68">
        <v>16051354000</v>
      </c>
      <c r="F26" s="68">
        <v>13990684000</v>
      </c>
      <c r="G26" s="68">
        <v>10011772000</v>
      </c>
      <c r="H26" s="68">
        <v>7709511000</v>
      </c>
      <c r="I26" s="68">
        <v>8229433600</v>
      </c>
      <c r="J26" s="68">
        <v>7930414399.999999</v>
      </c>
      <c r="K26" s="68">
        <v>3971439900</v>
      </c>
      <c r="L26" s="68">
        <v>2941928100</v>
      </c>
      <c r="M26" s="68">
        <v>2866765900.0000005</v>
      </c>
      <c r="N26" s="68">
        <v>1719101300</v>
      </c>
    </row>
    <row r="27" spans="1:14" x14ac:dyDescent="0.25">
      <c r="A27" s="68" t="s">
        <v>317</v>
      </c>
      <c r="B27" s="68">
        <v>4122639000</v>
      </c>
      <c r="C27" s="68">
        <v>3243584000</v>
      </c>
      <c r="D27" s="68">
        <v>3052691000</v>
      </c>
      <c r="E27" s="68">
        <v>2426699000</v>
      </c>
      <c r="F27" s="68">
        <v>2344356000</v>
      </c>
      <c r="G27" s="68">
        <v>1714275570</v>
      </c>
      <c r="H27" s="68">
        <v>1568621320</v>
      </c>
      <c r="I27" s="68">
        <v>1577560240</v>
      </c>
      <c r="J27" s="68">
        <v>1469018600</v>
      </c>
      <c r="K27" s="68">
        <v>588472072.57000005</v>
      </c>
      <c r="L27" s="68">
        <v>283521103.22000003</v>
      </c>
      <c r="M27" s="68">
        <v>249865897.34</v>
      </c>
      <c r="N27" s="68">
        <v>122267790.53</v>
      </c>
    </row>
    <row r="28" spans="1:14" x14ac:dyDescent="0.25">
      <c r="A28" s="68" t="s">
        <v>318</v>
      </c>
      <c r="B28" s="68">
        <v>21650419000</v>
      </c>
      <c r="C28" s="68">
        <v>18611190000</v>
      </c>
      <c r="D28" s="68">
        <v>15861912000</v>
      </c>
      <c r="E28" s="68">
        <v>13624655000</v>
      </c>
      <c r="F28" s="68">
        <v>11646328000</v>
      </c>
      <c r="G28" s="68">
        <v>8297496400</v>
      </c>
      <c r="H28" s="68">
        <v>6140889600</v>
      </c>
      <c r="I28" s="68">
        <v>6651873300</v>
      </c>
      <c r="J28" s="68">
        <v>6461395800</v>
      </c>
      <c r="K28" s="68">
        <v>3382967900</v>
      </c>
      <c r="L28" s="68">
        <v>2658407000</v>
      </c>
      <c r="M28" s="68">
        <v>2616900000</v>
      </c>
      <c r="N28" s="68">
        <v>1596833500</v>
      </c>
    </row>
    <row r="29" spans="1:14" x14ac:dyDescent="0.25">
      <c r="A29" s="68" t="s">
        <v>319</v>
      </c>
      <c r="B29" s="68">
        <v>21650419000</v>
      </c>
      <c r="C29" s="68">
        <v>18611190000</v>
      </c>
      <c r="D29" s="68">
        <v>15861912000</v>
      </c>
      <c r="E29" s="68" t="s">
        <v>20</v>
      </c>
      <c r="F29" s="68" t="s">
        <v>20</v>
      </c>
      <c r="G29" s="68" t="s">
        <v>20</v>
      </c>
      <c r="H29" s="68" t="s">
        <v>20</v>
      </c>
      <c r="I29" s="68" t="s">
        <v>20</v>
      </c>
      <c r="J29" s="68" t="s">
        <v>20</v>
      </c>
      <c r="K29" s="68" t="s">
        <v>20</v>
      </c>
      <c r="L29" s="68" t="s">
        <v>20</v>
      </c>
      <c r="M29" s="68" t="s">
        <v>20</v>
      </c>
      <c r="N29" s="68" t="s">
        <v>20</v>
      </c>
    </row>
    <row r="30" spans="1:14" x14ac:dyDescent="0.25">
      <c r="A30" s="68" t="s">
        <v>320</v>
      </c>
      <c r="B30" s="68">
        <v>20230779000</v>
      </c>
      <c r="C30" s="68">
        <v>17283689000</v>
      </c>
      <c r="D30" s="68">
        <v>14684357000</v>
      </c>
      <c r="E30" s="68">
        <v>12706725000</v>
      </c>
      <c r="F30" s="68">
        <v>10502220000</v>
      </c>
      <c r="G30" s="68">
        <v>5317458100.000001</v>
      </c>
      <c r="H30" s="68">
        <v>3259291000</v>
      </c>
      <c r="I30" s="68">
        <v>3472650500</v>
      </c>
      <c r="J30" s="68">
        <v>3745781000</v>
      </c>
      <c r="K30" s="68">
        <v>1611448400</v>
      </c>
      <c r="L30" s="68">
        <v>1496976700.0000002</v>
      </c>
      <c r="M30" s="68">
        <v>1438692100</v>
      </c>
      <c r="N30" s="68">
        <v>641781000</v>
      </c>
    </row>
    <row r="31" spans="1:14" x14ac:dyDescent="0.25">
      <c r="A31" s="68" t="s">
        <v>321</v>
      </c>
      <c r="B31" s="68">
        <v>1419640000</v>
      </c>
      <c r="C31" s="68">
        <v>1327501000</v>
      </c>
      <c r="D31" s="68">
        <v>1177555000</v>
      </c>
      <c r="E31" s="68">
        <v>917930000</v>
      </c>
      <c r="F31" s="68">
        <v>1144108000</v>
      </c>
      <c r="G31" s="68">
        <v>2980038400.0000005</v>
      </c>
      <c r="H31" s="68">
        <v>2881598700</v>
      </c>
      <c r="I31" s="68">
        <v>3179222800.0000005</v>
      </c>
      <c r="J31" s="68">
        <v>2715614800</v>
      </c>
      <c r="K31" s="68">
        <v>1771519400</v>
      </c>
      <c r="L31" s="68">
        <v>1161430300</v>
      </c>
      <c r="M31" s="68">
        <v>1178207900</v>
      </c>
      <c r="N31" s="68">
        <v>955052500</v>
      </c>
    </row>
    <row r="32" spans="1:14" x14ac:dyDescent="0.25">
      <c r="A32" s="68" t="s">
        <v>322</v>
      </c>
      <c r="B32" s="68">
        <v>20058155000</v>
      </c>
      <c r="C32" s="68">
        <v>15614103000</v>
      </c>
      <c r="D32" s="68">
        <v>13492866000</v>
      </c>
      <c r="E32" s="68">
        <v>10911341000</v>
      </c>
      <c r="F32" s="68">
        <v>9476848000</v>
      </c>
      <c r="G32" s="68">
        <v>3903375900.0000005</v>
      </c>
      <c r="H32" s="68" t="s">
        <v>20</v>
      </c>
      <c r="I32" s="68" t="s">
        <v>20</v>
      </c>
      <c r="J32" s="68" t="s">
        <v>20</v>
      </c>
      <c r="K32" s="68" t="s">
        <v>20</v>
      </c>
      <c r="L32" s="68" t="s">
        <v>20</v>
      </c>
      <c r="M32" s="68" t="s">
        <v>20</v>
      </c>
      <c r="N32" s="68" t="s">
        <v>20</v>
      </c>
    </row>
    <row r="33" spans="1:14" x14ac:dyDescent="0.25">
      <c r="A33" s="68" t="s">
        <v>323</v>
      </c>
      <c r="B33" s="68"/>
      <c r="C33" s="68"/>
      <c r="D33" s="68"/>
      <c r="E33" s="68"/>
      <c r="F33" s="68"/>
      <c r="G33" s="68"/>
      <c r="H33" s="68"/>
      <c r="I33" s="68"/>
      <c r="J33" s="68"/>
      <c r="K33" s="68"/>
      <c r="L33" s="68"/>
      <c r="M33" s="68"/>
      <c r="N33" s="68"/>
    </row>
    <row r="34" spans="1:14" x14ac:dyDescent="0.25">
      <c r="A34" s="68" t="s">
        <v>324</v>
      </c>
      <c r="B34" s="68">
        <v>3.08</v>
      </c>
      <c r="C34" s="68">
        <v>2.66</v>
      </c>
      <c r="D34" s="68">
        <v>2.29</v>
      </c>
      <c r="E34" s="68">
        <v>2</v>
      </c>
      <c r="F34" s="68">
        <v>2.4900000000000002</v>
      </c>
      <c r="G34" s="68">
        <v>1.73</v>
      </c>
      <c r="H34" s="68">
        <v>3.26</v>
      </c>
      <c r="I34" s="68" t="s">
        <v>20</v>
      </c>
      <c r="J34" s="68" t="s">
        <v>20</v>
      </c>
      <c r="K34" s="68" t="s">
        <v>20</v>
      </c>
      <c r="L34" s="68" t="s">
        <v>20</v>
      </c>
      <c r="M34" s="68" t="s">
        <v>20</v>
      </c>
      <c r="N34" s="68" t="s">
        <v>20</v>
      </c>
    </row>
    <row r="35" spans="1:14" x14ac:dyDescent="0.25">
      <c r="A35" s="68" t="s">
        <v>325</v>
      </c>
      <c r="B35" s="68">
        <v>3.05</v>
      </c>
      <c r="C35" s="68">
        <v>2.63</v>
      </c>
      <c r="D35" s="68">
        <v>2.2799999999999998</v>
      </c>
      <c r="E35" s="68">
        <v>1.99</v>
      </c>
      <c r="F35" s="68">
        <v>2.4900000000000002</v>
      </c>
      <c r="G35" s="68">
        <v>1.73</v>
      </c>
      <c r="H35" s="68">
        <v>3.26</v>
      </c>
      <c r="I35" s="68" t="s">
        <v>20</v>
      </c>
      <c r="J35" s="68" t="s">
        <v>20</v>
      </c>
      <c r="K35" s="68" t="s">
        <v>20</v>
      </c>
      <c r="L35" s="68" t="s">
        <v>20</v>
      </c>
      <c r="M35" s="68" t="s">
        <v>20</v>
      </c>
      <c r="N35" s="68" t="s">
        <v>20</v>
      </c>
    </row>
    <row r="36" spans="1:14" x14ac:dyDescent="0.25">
      <c r="A36" s="68" t="s">
        <v>326</v>
      </c>
      <c r="B36" s="68">
        <v>-1215825000</v>
      </c>
      <c r="C36" s="68">
        <v>-310628000</v>
      </c>
      <c r="D36" s="68">
        <v>1188215000</v>
      </c>
      <c r="E36" s="68">
        <v>-469463000</v>
      </c>
      <c r="F36" s="68">
        <v>-596465000</v>
      </c>
      <c r="G36" s="68">
        <v>-167401300</v>
      </c>
      <c r="H36" s="68">
        <v>-269937700</v>
      </c>
      <c r="I36" s="68">
        <v>-228636400</v>
      </c>
      <c r="J36" s="68">
        <v>-19648900</v>
      </c>
      <c r="K36" s="68" t="s">
        <v>20</v>
      </c>
      <c r="L36" s="68" t="s">
        <v>20</v>
      </c>
      <c r="M36" s="68" t="s">
        <v>20</v>
      </c>
      <c r="N36" s="68" t="s">
        <v>20</v>
      </c>
    </row>
    <row r="37" spans="1:14" x14ac:dyDescent="0.25">
      <c r="A37" s="68" t="s">
        <v>327</v>
      </c>
      <c r="B37" s="68">
        <v>-1087461000</v>
      </c>
      <c r="C37" s="68">
        <v>-257817000</v>
      </c>
      <c r="D37" s="68">
        <v>1084276000</v>
      </c>
      <c r="E37" s="68">
        <v>-296852000</v>
      </c>
      <c r="F37" s="68">
        <v>-494569000</v>
      </c>
      <c r="G37" s="68">
        <v>-8197800</v>
      </c>
      <c r="H37" s="68" t="s">
        <v>20</v>
      </c>
      <c r="I37" s="68" t="s">
        <v>20</v>
      </c>
      <c r="J37" s="68" t="s">
        <v>20</v>
      </c>
      <c r="K37" s="68" t="s">
        <v>20</v>
      </c>
      <c r="L37" s="68" t="s">
        <v>20</v>
      </c>
      <c r="M37" s="68" t="s">
        <v>20</v>
      </c>
      <c r="N37" s="68" t="s">
        <v>20</v>
      </c>
    </row>
    <row r="38" spans="1:14" x14ac:dyDescent="0.25">
      <c r="A38" s="68" t="s">
        <v>328</v>
      </c>
      <c r="B38" s="68">
        <v>20434594000</v>
      </c>
      <c r="C38" s="68">
        <v>18300562000</v>
      </c>
      <c r="D38" s="68">
        <v>17050127000</v>
      </c>
      <c r="E38" s="68">
        <v>13155192000</v>
      </c>
      <c r="F38" s="68">
        <v>11049863000</v>
      </c>
      <c r="G38" s="68">
        <v>8130095100</v>
      </c>
      <c r="H38" s="68">
        <v>5870951899.999999</v>
      </c>
      <c r="I38" s="68">
        <v>6423237000</v>
      </c>
      <c r="J38" s="68">
        <v>6441746899.999999</v>
      </c>
      <c r="K38" s="68" t="s">
        <v>20</v>
      </c>
      <c r="L38" s="68" t="s">
        <v>20</v>
      </c>
      <c r="M38" s="68" t="s">
        <v>20</v>
      </c>
      <c r="N38" s="68" t="s">
        <v>20</v>
      </c>
    </row>
    <row r="39" spans="1:14" x14ac:dyDescent="0.25">
      <c r="A39" s="68" t="s">
        <v>329</v>
      </c>
      <c r="B39" s="68">
        <v>19143318000</v>
      </c>
      <c r="C39" s="68">
        <v>17025872000</v>
      </c>
      <c r="D39" s="68">
        <v>15768633000</v>
      </c>
      <c r="E39" s="68">
        <v>12409873000</v>
      </c>
      <c r="F39" s="68">
        <v>10007651000</v>
      </c>
      <c r="G39" s="68">
        <v>5309260300</v>
      </c>
      <c r="H39" s="68">
        <v>3208636900</v>
      </c>
      <c r="I39" s="68">
        <v>3211098100</v>
      </c>
      <c r="J39" s="68">
        <v>3726703500</v>
      </c>
      <c r="K39" s="68" t="s">
        <v>20</v>
      </c>
      <c r="L39" s="68" t="s">
        <v>20</v>
      </c>
      <c r="M39" s="68" t="s">
        <v>20</v>
      </c>
      <c r="N39" s="68" t="s">
        <v>20</v>
      </c>
    </row>
    <row r="40" spans="1:14" x14ac:dyDescent="0.25">
      <c r="A40" s="68" t="s">
        <v>330</v>
      </c>
      <c r="B40" s="68">
        <v>1291276000</v>
      </c>
      <c r="C40" s="68">
        <v>1274690000</v>
      </c>
      <c r="D40" s="68">
        <v>1281494000</v>
      </c>
      <c r="E40" s="68">
        <v>745319000</v>
      </c>
      <c r="F40" s="68">
        <v>1042212000</v>
      </c>
      <c r="G40" s="68">
        <v>2820834800</v>
      </c>
      <c r="H40" s="68">
        <v>2662315000</v>
      </c>
      <c r="I40" s="68">
        <v>3212138900</v>
      </c>
      <c r="J40" s="68">
        <v>2715043400.0000005</v>
      </c>
      <c r="K40" s="68" t="s">
        <v>20</v>
      </c>
      <c r="L40" s="68" t="s">
        <v>20</v>
      </c>
      <c r="M40" s="68" t="s">
        <v>20</v>
      </c>
      <c r="N40" s="68" t="s">
        <v>20</v>
      </c>
    </row>
  </sheetData>
  <mergeCells count="1">
    <mergeCell ref="A1:N1"/>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67"/>
  <sheetViews>
    <sheetView workbookViewId="0">
      <selection sqref="A1:XFD1048576"/>
    </sheetView>
  </sheetViews>
  <sheetFormatPr defaultRowHeight="15" x14ac:dyDescent="0.25"/>
  <cols>
    <col min="1" max="1" width="25" style="28" customWidth="1"/>
    <col min="2" max="14" width="10" style="28" customWidth="1"/>
    <col min="15" max="256" width="9.140625" style="28"/>
    <col min="257" max="257" width="25" style="28" customWidth="1"/>
    <col min="258" max="270" width="10" style="28" customWidth="1"/>
    <col min="271" max="512" width="9.140625" style="28"/>
    <col min="513" max="513" width="25" style="28" customWidth="1"/>
    <col min="514" max="526" width="10" style="28" customWidth="1"/>
    <col min="527" max="768" width="9.140625" style="28"/>
    <col min="769" max="769" width="25" style="28" customWidth="1"/>
    <col min="770" max="782" width="10" style="28" customWidth="1"/>
    <col min="783" max="1024" width="9.140625" style="28"/>
    <col min="1025" max="1025" width="25" style="28" customWidth="1"/>
    <col min="1026" max="1038" width="10" style="28" customWidth="1"/>
    <col min="1039" max="1280" width="9.140625" style="28"/>
    <col min="1281" max="1281" width="25" style="28" customWidth="1"/>
    <col min="1282" max="1294" width="10" style="28" customWidth="1"/>
    <col min="1295" max="1536" width="9.140625" style="28"/>
    <col min="1537" max="1537" width="25" style="28" customWidth="1"/>
    <col min="1538" max="1550" width="10" style="28" customWidth="1"/>
    <col min="1551" max="1792" width="9.140625" style="28"/>
    <col min="1793" max="1793" width="25" style="28" customWidth="1"/>
    <col min="1794" max="1806" width="10" style="28" customWidth="1"/>
    <col min="1807" max="2048" width="9.140625" style="28"/>
    <col min="2049" max="2049" width="25" style="28" customWidth="1"/>
    <col min="2050" max="2062" width="10" style="28" customWidth="1"/>
    <col min="2063" max="2304" width="9.140625" style="28"/>
    <col min="2305" max="2305" width="25" style="28" customWidth="1"/>
    <col min="2306" max="2318" width="10" style="28" customWidth="1"/>
    <col min="2319" max="2560" width="9.140625" style="28"/>
    <col min="2561" max="2561" width="25" style="28" customWidth="1"/>
    <col min="2562" max="2574" width="10" style="28" customWidth="1"/>
    <col min="2575" max="2816" width="9.140625" style="28"/>
    <col min="2817" max="2817" width="25" style="28" customWidth="1"/>
    <col min="2818" max="2830" width="10" style="28" customWidth="1"/>
    <col min="2831" max="3072" width="9.140625" style="28"/>
    <col min="3073" max="3073" width="25" style="28" customWidth="1"/>
    <col min="3074" max="3086" width="10" style="28" customWidth="1"/>
    <col min="3087" max="3328" width="9.140625" style="28"/>
    <col min="3329" max="3329" width="25" style="28" customWidth="1"/>
    <col min="3330" max="3342" width="10" style="28" customWidth="1"/>
    <col min="3343" max="3584" width="9.140625" style="28"/>
    <col min="3585" max="3585" width="25" style="28" customWidth="1"/>
    <col min="3586" max="3598" width="10" style="28" customWidth="1"/>
    <col min="3599" max="3840" width="9.140625" style="28"/>
    <col min="3841" max="3841" width="25" style="28" customWidth="1"/>
    <col min="3842" max="3854" width="10" style="28" customWidth="1"/>
    <col min="3855" max="4096" width="9.140625" style="28"/>
    <col min="4097" max="4097" width="25" style="28" customWidth="1"/>
    <col min="4098" max="4110" width="10" style="28" customWidth="1"/>
    <col min="4111" max="4352" width="9.140625" style="28"/>
    <col min="4353" max="4353" width="25" style="28" customWidth="1"/>
    <col min="4354" max="4366" width="10" style="28" customWidth="1"/>
    <col min="4367" max="4608" width="9.140625" style="28"/>
    <col min="4609" max="4609" width="25" style="28" customWidth="1"/>
    <col min="4610" max="4622" width="10" style="28" customWidth="1"/>
    <col min="4623" max="4864" width="9.140625" style="28"/>
    <col min="4865" max="4865" width="25" style="28" customWidth="1"/>
    <col min="4866" max="4878" width="10" style="28" customWidth="1"/>
    <col min="4879" max="5120" width="9.140625" style="28"/>
    <col min="5121" max="5121" width="25" style="28" customWidth="1"/>
    <col min="5122" max="5134" width="10" style="28" customWidth="1"/>
    <col min="5135" max="5376" width="9.140625" style="28"/>
    <col min="5377" max="5377" width="25" style="28" customWidth="1"/>
    <col min="5378" max="5390" width="10" style="28" customWidth="1"/>
    <col min="5391" max="5632" width="9.140625" style="28"/>
    <col min="5633" max="5633" width="25" style="28" customWidth="1"/>
    <col min="5634" max="5646" width="10" style="28" customWidth="1"/>
    <col min="5647" max="5888" width="9.140625" style="28"/>
    <col min="5889" max="5889" width="25" style="28" customWidth="1"/>
    <col min="5890" max="5902" width="10" style="28" customWidth="1"/>
    <col min="5903" max="6144" width="9.140625" style="28"/>
    <col min="6145" max="6145" width="25" style="28" customWidth="1"/>
    <col min="6146" max="6158" width="10" style="28" customWidth="1"/>
    <col min="6159" max="6400" width="9.140625" style="28"/>
    <col min="6401" max="6401" width="25" style="28" customWidth="1"/>
    <col min="6402" max="6414" width="10" style="28" customWidth="1"/>
    <col min="6415" max="6656" width="9.140625" style="28"/>
    <col min="6657" max="6657" width="25" style="28" customWidth="1"/>
    <col min="6658" max="6670" width="10" style="28" customWidth="1"/>
    <col min="6671" max="6912" width="9.140625" style="28"/>
    <col min="6913" max="6913" width="25" style="28" customWidth="1"/>
    <col min="6914" max="6926" width="10" style="28" customWidth="1"/>
    <col min="6927" max="7168" width="9.140625" style="28"/>
    <col min="7169" max="7169" width="25" style="28" customWidth="1"/>
    <col min="7170" max="7182" width="10" style="28" customWidth="1"/>
    <col min="7183" max="7424" width="9.140625" style="28"/>
    <col min="7425" max="7425" width="25" style="28" customWidth="1"/>
    <col min="7426" max="7438" width="10" style="28" customWidth="1"/>
    <col min="7439" max="7680" width="9.140625" style="28"/>
    <col min="7681" max="7681" width="25" style="28" customWidth="1"/>
    <col min="7682" max="7694" width="10" style="28" customWidth="1"/>
    <col min="7695" max="7936" width="9.140625" style="28"/>
    <col min="7937" max="7937" width="25" style="28" customWidth="1"/>
    <col min="7938" max="7950" width="10" style="28" customWidth="1"/>
    <col min="7951" max="8192" width="9.140625" style="28"/>
    <col min="8193" max="8193" width="25" style="28" customWidth="1"/>
    <col min="8194" max="8206" width="10" style="28" customWidth="1"/>
    <col min="8207" max="8448" width="9.140625" style="28"/>
    <col min="8449" max="8449" width="25" style="28" customWidth="1"/>
    <col min="8450" max="8462" width="10" style="28" customWidth="1"/>
    <col min="8463" max="8704" width="9.140625" style="28"/>
    <col min="8705" max="8705" width="25" style="28" customWidth="1"/>
    <col min="8706" max="8718" width="10" style="28" customWidth="1"/>
    <col min="8719" max="8960" width="9.140625" style="28"/>
    <col min="8961" max="8961" width="25" style="28" customWidth="1"/>
    <col min="8962" max="8974" width="10" style="28" customWidth="1"/>
    <col min="8975" max="9216" width="9.140625" style="28"/>
    <col min="9217" max="9217" width="25" style="28" customWidth="1"/>
    <col min="9218" max="9230" width="10" style="28" customWidth="1"/>
    <col min="9231" max="9472" width="9.140625" style="28"/>
    <col min="9473" max="9473" width="25" style="28" customWidth="1"/>
    <col min="9474" max="9486" width="10" style="28" customWidth="1"/>
    <col min="9487" max="9728" width="9.140625" style="28"/>
    <col min="9729" max="9729" width="25" style="28" customWidth="1"/>
    <col min="9730" max="9742" width="10" style="28" customWidth="1"/>
    <col min="9743" max="9984" width="9.140625" style="28"/>
    <col min="9985" max="9985" width="25" style="28" customWidth="1"/>
    <col min="9986" max="9998" width="10" style="28" customWidth="1"/>
    <col min="9999" max="10240" width="9.140625" style="28"/>
    <col min="10241" max="10241" width="25" style="28" customWidth="1"/>
    <col min="10242" max="10254" width="10" style="28" customWidth="1"/>
    <col min="10255" max="10496" width="9.140625" style="28"/>
    <col min="10497" max="10497" width="25" style="28" customWidth="1"/>
    <col min="10498" max="10510" width="10" style="28" customWidth="1"/>
    <col min="10511" max="10752" width="9.140625" style="28"/>
    <col min="10753" max="10753" width="25" style="28" customWidth="1"/>
    <col min="10754" max="10766" width="10" style="28" customWidth="1"/>
    <col min="10767" max="11008" width="9.140625" style="28"/>
    <col min="11009" max="11009" width="25" style="28" customWidth="1"/>
    <col min="11010" max="11022" width="10" style="28" customWidth="1"/>
    <col min="11023" max="11264" width="9.140625" style="28"/>
    <col min="11265" max="11265" width="25" style="28" customWidth="1"/>
    <col min="11266" max="11278" width="10" style="28" customWidth="1"/>
    <col min="11279" max="11520" width="9.140625" style="28"/>
    <col min="11521" max="11521" width="25" style="28" customWidth="1"/>
    <col min="11522" max="11534" width="10" style="28" customWidth="1"/>
    <col min="11535" max="11776" width="9.140625" style="28"/>
    <col min="11777" max="11777" width="25" style="28" customWidth="1"/>
    <col min="11778" max="11790" width="10" style="28" customWidth="1"/>
    <col min="11791" max="12032" width="9.140625" style="28"/>
    <col min="12033" max="12033" width="25" style="28" customWidth="1"/>
    <col min="12034" max="12046" width="10" style="28" customWidth="1"/>
    <col min="12047" max="12288" width="9.140625" style="28"/>
    <col min="12289" max="12289" width="25" style="28" customWidth="1"/>
    <col min="12290" max="12302" width="10" style="28" customWidth="1"/>
    <col min="12303" max="12544" width="9.140625" style="28"/>
    <col min="12545" max="12545" width="25" style="28" customWidth="1"/>
    <col min="12546" max="12558" width="10" style="28" customWidth="1"/>
    <col min="12559" max="12800" width="9.140625" style="28"/>
    <col min="12801" max="12801" width="25" style="28" customWidth="1"/>
    <col min="12802" max="12814" width="10" style="28" customWidth="1"/>
    <col min="12815" max="13056" width="9.140625" style="28"/>
    <col min="13057" max="13057" width="25" style="28" customWidth="1"/>
    <col min="13058" max="13070" width="10" style="28" customWidth="1"/>
    <col min="13071" max="13312" width="9.140625" style="28"/>
    <col min="13313" max="13313" width="25" style="28" customWidth="1"/>
    <col min="13314" max="13326" width="10" style="28" customWidth="1"/>
    <col min="13327" max="13568" width="9.140625" style="28"/>
    <col min="13569" max="13569" width="25" style="28" customWidth="1"/>
    <col min="13570" max="13582" width="10" style="28" customWidth="1"/>
    <col min="13583" max="13824" width="9.140625" style="28"/>
    <col min="13825" max="13825" width="25" style="28" customWidth="1"/>
    <col min="13826" max="13838" width="10" style="28" customWidth="1"/>
    <col min="13839" max="14080" width="9.140625" style="28"/>
    <col min="14081" max="14081" width="25" style="28" customWidth="1"/>
    <col min="14082" max="14094" width="10" style="28" customWidth="1"/>
    <col min="14095" max="14336" width="9.140625" style="28"/>
    <col min="14337" max="14337" width="25" style="28" customWidth="1"/>
    <col min="14338" max="14350" width="10" style="28" customWidth="1"/>
    <col min="14351" max="14592" width="9.140625" style="28"/>
    <col min="14593" max="14593" width="25" style="28" customWidth="1"/>
    <col min="14594" max="14606" width="10" style="28" customWidth="1"/>
    <col min="14607" max="14848" width="9.140625" style="28"/>
    <col min="14849" max="14849" width="25" style="28" customWidth="1"/>
    <col min="14850" max="14862" width="10" style="28" customWidth="1"/>
    <col min="14863" max="15104" width="9.140625" style="28"/>
    <col min="15105" max="15105" width="25" style="28" customWidth="1"/>
    <col min="15106" max="15118" width="10" style="28" customWidth="1"/>
    <col min="15119" max="15360" width="9.140625" style="28"/>
    <col min="15361" max="15361" width="25" style="28" customWidth="1"/>
    <col min="15362" max="15374" width="10" style="28" customWidth="1"/>
    <col min="15375" max="15616" width="9.140625" style="28"/>
    <col min="15617" max="15617" width="25" style="28" customWidth="1"/>
    <col min="15618" max="15630" width="10" style="28" customWidth="1"/>
    <col min="15631" max="15872" width="9.140625" style="28"/>
    <col min="15873" max="15873" width="25" style="28" customWidth="1"/>
    <col min="15874" max="15886" width="10" style="28" customWidth="1"/>
    <col min="15887" max="16128" width="9.140625" style="28"/>
    <col min="16129" max="16129" width="25" style="28" customWidth="1"/>
    <col min="16130" max="16142" width="10" style="28" customWidth="1"/>
    <col min="16143" max="16384" width="9.140625" style="28"/>
  </cols>
  <sheetData>
    <row r="1" spans="1:14" x14ac:dyDescent="0.25">
      <c r="A1" s="77"/>
      <c r="B1" s="77"/>
      <c r="C1" s="77"/>
      <c r="D1" s="77"/>
      <c r="E1" s="77"/>
      <c r="F1" s="77"/>
      <c r="G1" s="77"/>
      <c r="H1" s="77"/>
      <c r="I1" s="77"/>
      <c r="J1" s="77"/>
      <c r="K1" s="77"/>
      <c r="L1" s="77"/>
      <c r="M1" s="77"/>
      <c r="N1" s="77"/>
    </row>
    <row r="2" spans="1:14" x14ac:dyDescent="0.25">
      <c r="A2" s="28" t="s">
        <v>0</v>
      </c>
      <c r="B2" s="28">
        <v>2018</v>
      </c>
      <c r="C2" s="28">
        <v>2017</v>
      </c>
      <c r="D2" s="28">
        <v>2016</v>
      </c>
      <c r="E2" s="28">
        <v>2015</v>
      </c>
      <c r="F2" s="28">
        <v>2014</v>
      </c>
      <c r="G2" s="28">
        <v>2013</v>
      </c>
      <c r="H2" s="28">
        <v>2012</v>
      </c>
      <c r="I2" s="28">
        <v>2011</v>
      </c>
      <c r="J2" s="28">
        <v>2010</v>
      </c>
      <c r="K2" s="28">
        <v>2009</v>
      </c>
      <c r="L2" s="28">
        <v>2008</v>
      </c>
      <c r="M2" s="28">
        <v>2007</v>
      </c>
      <c r="N2" s="28">
        <v>2006</v>
      </c>
    </row>
    <row r="3" spans="1:14" x14ac:dyDescent="0.25">
      <c r="A3" s="68" t="s">
        <v>243</v>
      </c>
      <c r="B3" s="68"/>
      <c r="C3" s="68"/>
      <c r="D3" s="68"/>
      <c r="E3" s="68"/>
      <c r="F3" s="68"/>
      <c r="G3" s="68"/>
      <c r="H3" s="68"/>
      <c r="I3" s="68"/>
      <c r="J3" s="68"/>
      <c r="K3" s="68"/>
      <c r="L3" s="68"/>
      <c r="M3" s="68"/>
      <c r="N3" s="68"/>
    </row>
    <row r="4" spans="1:14" x14ac:dyDescent="0.25">
      <c r="A4" s="68" t="s">
        <v>12</v>
      </c>
      <c r="B4" s="68">
        <v>211230723000</v>
      </c>
      <c r="C4" s="68">
        <v>195820338000</v>
      </c>
      <c r="D4" s="68">
        <v>153324273000</v>
      </c>
      <c r="E4" s="68">
        <v>125902444000</v>
      </c>
      <c r="F4" s="68">
        <v>105499097000</v>
      </c>
      <c r="G4" s="68">
        <v>77338957300</v>
      </c>
      <c r="H4" s="68">
        <v>71852982200</v>
      </c>
      <c r="I4" s="68">
        <v>65230375100</v>
      </c>
      <c r="J4" s="68">
        <v>68184144400.000008</v>
      </c>
      <c r="K4" s="68">
        <v>48013850199.999992</v>
      </c>
      <c r="L4" s="68">
        <v>45977038900</v>
      </c>
      <c r="M4" s="68">
        <v>39050335400</v>
      </c>
      <c r="N4" s="68">
        <v>35261359500</v>
      </c>
    </row>
    <row r="5" spans="1:14" x14ac:dyDescent="0.25">
      <c r="A5" s="68" t="s">
        <v>244</v>
      </c>
      <c r="B5" s="68">
        <v>5705259000</v>
      </c>
      <c r="C5" s="68">
        <v>5476543000</v>
      </c>
      <c r="D5" s="68">
        <v>5124402000</v>
      </c>
      <c r="E5" s="68">
        <v>3900819000</v>
      </c>
      <c r="F5" s="68">
        <v>3661667000</v>
      </c>
      <c r="G5" s="68">
        <v>3794588700</v>
      </c>
      <c r="H5" s="68">
        <v>3900191900</v>
      </c>
      <c r="I5" s="68">
        <v>4318182400</v>
      </c>
      <c r="J5" s="68">
        <v>2539693400</v>
      </c>
      <c r="K5" s="68">
        <v>891339299.99999988</v>
      </c>
      <c r="L5" s="68">
        <v>1869993900.0000002</v>
      </c>
      <c r="M5" s="68">
        <v>1334510799.9999998</v>
      </c>
      <c r="N5" s="68">
        <v>651168900</v>
      </c>
    </row>
    <row r="6" spans="1:14" x14ac:dyDescent="0.25">
      <c r="A6" s="68" t="s">
        <v>13</v>
      </c>
      <c r="B6" s="68">
        <v>5558221000</v>
      </c>
      <c r="C6" s="68">
        <v>4771036000</v>
      </c>
      <c r="D6" s="68">
        <v>3139286000</v>
      </c>
      <c r="E6" s="68">
        <v>3210987000</v>
      </c>
      <c r="F6" s="68">
        <v>2494185000</v>
      </c>
      <c r="G6" s="68">
        <v>3012287000</v>
      </c>
      <c r="H6" s="68">
        <v>3494429600</v>
      </c>
      <c r="I6" s="68">
        <v>3672481700</v>
      </c>
      <c r="J6" s="68">
        <v>6323408100.000001</v>
      </c>
      <c r="K6" s="68">
        <v>2362781600</v>
      </c>
      <c r="L6" s="68">
        <v>972380500</v>
      </c>
      <c r="M6" s="68">
        <v>683394000</v>
      </c>
      <c r="N6" s="68">
        <v>859908200.00000012</v>
      </c>
    </row>
    <row r="7" spans="1:14" x14ac:dyDescent="0.25">
      <c r="A7" s="68" t="s">
        <v>14</v>
      </c>
      <c r="B7" s="68">
        <v>226341706000</v>
      </c>
      <c r="C7" s="68">
        <v>207315612000</v>
      </c>
      <c r="D7" s="68">
        <v>162658812000</v>
      </c>
      <c r="E7" s="68">
        <v>134278290000</v>
      </c>
      <c r="F7" s="68">
        <v>112305174000</v>
      </c>
      <c r="G7" s="68">
        <v>84525154200</v>
      </c>
      <c r="H7" s="68">
        <v>79362515800</v>
      </c>
      <c r="I7" s="68">
        <v>73303163900</v>
      </c>
      <c r="J7" s="68">
        <v>77057208900</v>
      </c>
      <c r="K7" s="68">
        <v>51267971100</v>
      </c>
      <c r="L7" s="68">
        <v>48819413300</v>
      </c>
      <c r="M7" s="68">
        <v>41068240200</v>
      </c>
      <c r="N7" s="68">
        <v>36772436700</v>
      </c>
    </row>
    <row r="8" spans="1:14" x14ac:dyDescent="0.25">
      <c r="A8" s="68" t="s">
        <v>245</v>
      </c>
      <c r="B8" s="68">
        <v>127367813000</v>
      </c>
      <c r="C8" s="68">
        <v>116508042000</v>
      </c>
      <c r="D8" s="68">
        <v>89440654000</v>
      </c>
      <c r="E8" s="68">
        <v>71733220000</v>
      </c>
      <c r="F8" s="68">
        <v>51280772000</v>
      </c>
      <c r="G8" s="68">
        <v>41495028900</v>
      </c>
      <c r="H8" s="68">
        <v>48901421200</v>
      </c>
      <c r="I8" s="68">
        <v>38063701000</v>
      </c>
      <c r="J8" s="68">
        <v>45756647000</v>
      </c>
      <c r="K8" s="68">
        <v>31942362300</v>
      </c>
      <c r="L8" s="68">
        <v>31471412599.999996</v>
      </c>
      <c r="M8" s="68">
        <v>29057586400</v>
      </c>
      <c r="N8" s="68">
        <v>28410924100</v>
      </c>
    </row>
    <row r="9" spans="1:14" x14ac:dyDescent="0.25">
      <c r="A9" s="68" t="s">
        <v>246</v>
      </c>
      <c r="B9" s="68">
        <v>24709578000</v>
      </c>
      <c r="C9" s="68">
        <v>22740541000</v>
      </c>
      <c r="D9" s="68">
        <v>11652740000</v>
      </c>
      <c r="E9" s="68">
        <v>10493582000</v>
      </c>
      <c r="F9" s="68">
        <v>10426381000</v>
      </c>
      <c r="G9" s="68">
        <v>8207434900</v>
      </c>
      <c r="H9" s="68">
        <v>7560276400</v>
      </c>
      <c r="I9" s="68">
        <v>8094555900</v>
      </c>
      <c r="J9" s="68">
        <v>6368481000</v>
      </c>
      <c r="K9" s="68">
        <v>3471811900</v>
      </c>
      <c r="L9" s="68">
        <v>3075203400.0000005</v>
      </c>
      <c r="M9" s="68">
        <v>2026315400</v>
      </c>
      <c r="N9" s="68">
        <v>1324306400.0000002</v>
      </c>
    </row>
    <row r="10" spans="1:14" x14ac:dyDescent="0.25">
      <c r="A10" s="68" t="s">
        <v>247</v>
      </c>
      <c r="B10" s="68">
        <v>13739262000</v>
      </c>
      <c r="C10" s="68">
        <v>11139448000</v>
      </c>
      <c r="D10" s="68">
        <v>8824342000</v>
      </c>
      <c r="E10" s="68">
        <v>8323884000</v>
      </c>
      <c r="F10" s="68">
        <v>8465413000</v>
      </c>
      <c r="G10" s="68">
        <v>6319042120</v>
      </c>
      <c r="H10" s="68">
        <v>4899687060</v>
      </c>
      <c r="I10" s="68">
        <v>5076146540</v>
      </c>
      <c r="J10" s="68">
        <v>3862982340</v>
      </c>
      <c r="K10" s="68">
        <v>2681394075.9400001</v>
      </c>
      <c r="L10" s="68">
        <v>1908071668.01</v>
      </c>
      <c r="M10" s="68">
        <v>898523016.63</v>
      </c>
      <c r="N10" s="68">
        <v>678909370.52999997</v>
      </c>
    </row>
    <row r="11" spans="1:14" x14ac:dyDescent="0.25">
      <c r="A11" s="68" t="s">
        <v>248</v>
      </c>
      <c r="B11" s="68">
        <v>32400672000</v>
      </c>
      <c r="C11" s="68">
        <v>29139920000</v>
      </c>
      <c r="D11" s="68">
        <v>21802729000</v>
      </c>
      <c r="E11" s="68">
        <v>16335966000</v>
      </c>
      <c r="F11" s="68">
        <v>15606172000</v>
      </c>
      <c r="G11" s="68">
        <v>13131104600</v>
      </c>
      <c r="H11" s="68">
        <v>9999637500</v>
      </c>
      <c r="I11" s="68">
        <v>17513619200</v>
      </c>
      <c r="J11" s="68">
        <v>16164263500</v>
      </c>
      <c r="K11" s="68">
        <v>9390986000</v>
      </c>
      <c r="L11" s="68">
        <v>7945125200</v>
      </c>
      <c r="M11" s="68">
        <v>6936074600</v>
      </c>
      <c r="N11" s="68">
        <v>3942741800</v>
      </c>
    </row>
    <row r="12" spans="1:14" x14ac:dyDescent="0.25">
      <c r="A12" s="68" t="s">
        <v>15</v>
      </c>
      <c r="B12" s="68">
        <v>198480626000</v>
      </c>
      <c r="C12" s="68">
        <v>182872989000</v>
      </c>
      <c r="D12" s="68">
        <v>135963803000</v>
      </c>
      <c r="E12" s="68">
        <v>107514036000</v>
      </c>
      <c r="F12" s="68">
        <v>87516662000</v>
      </c>
      <c r="G12" s="68">
        <v>74470957800</v>
      </c>
      <c r="H12" s="68">
        <v>71272949100</v>
      </c>
      <c r="I12" s="68">
        <v>69196974500</v>
      </c>
      <c r="J12" s="68">
        <v>72790268600</v>
      </c>
      <c r="K12" s="68">
        <v>47486554300</v>
      </c>
      <c r="L12" s="68">
        <v>44399812800</v>
      </c>
      <c r="M12" s="68">
        <v>38918499400</v>
      </c>
      <c r="N12" s="68">
        <v>34356881700</v>
      </c>
    </row>
    <row r="13" spans="1:14" x14ac:dyDescent="0.25">
      <c r="A13" s="68" t="s">
        <v>16</v>
      </c>
      <c r="B13" s="68">
        <v>27861080000</v>
      </c>
      <c r="C13" s="68">
        <v>24442623000</v>
      </c>
      <c r="D13" s="68">
        <v>26695009000</v>
      </c>
      <c r="E13" s="68">
        <v>26764254000</v>
      </c>
      <c r="F13" s="68">
        <v>24788512000</v>
      </c>
      <c r="G13" s="68">
        <v>10054196400</v>
      </c>
      <c r="H13" s="68">
        <v>8089566700</v>
      </c>
      <c r="I13" s="68">
        <v>4106189500</v>
      </c>
      <c r="J13" s="68">
        <v>4266940400</v>
      </c>
      <c r="K13" s="68">
        <v>3781416800</v>
      </c>
      <c r="L13" s="68">
        <v>4419600500</v>
      </c>
      <c r="M13" s="68">
        <v>2149740800</v>
      </c>
      <c r="N13" s="68">
        <v>2415555000</v>
      </c>
    </row>
    <row r="14" spans="1:14" x14ac:dyDescent="0.25">
      <c r="A14" s="68" t="s">
        <v>249</v>
      </c>
      <c r="B14" s="68"/>
      <c r="C14" s="68"/>
      <c r="D14" s="68"/>
      <c r="E14" s="68"/>
      <c r="F14" s="68"/>
      <c r="G14" s="68"/>
      <c r="H14" s="68"/>
      <c r="I14" s="68"/>
      <c r="J14" s="68"/>
      <c r="K14" s="68"/>
      <c r="L14" s="68"/>
      <c r="M14" s="68"/>
      <c r="N14" s="68"/>
    </row>
    <row r="15" spans="1:14" x14ac:dyDescent="0.25">
      <c r="A15" s="68" t="s">
        <v>250</v>
      </c>
      <c r="B15" s="68">
        <v>65711622000</v>
      </c>
      <c r="C15" s="68">
        <v>85127382000</v>
      </c>
      <c r="D15" s="68">
        <v>73905220000</v>
      </c>
      <c r="E15" s="68">
        <v>42061959000</v>
      </c>
      <c r="F15" s="68" t="s">
        <v>20</v>
      </c>
      <c r="G15" s="68">
        <v>1000000</v>
      </c>
      <c r="H15" s="68">
        <v>124586600</v>
      </c>
      <c r="I15" s="68">
        <v>230873100</v>
      </c>
      <c r="J15" s="68">
        <v>1118489300</v>
      </c>
      <c r="K15" s="68">
        <v>836645200</v>
      </c>
      <c r="L15" s="68">
        <v>38459900</v>
      </c>
      <c r="M15" s="68">
        <v>827591600</v>
      </c>
      <c r="N15" s="68">
        <v>143043000</v>
      </c>
    </row>
    <row r="16" spans="1:14" x14ac:dyDescent="0.25">
      <c r="A16" s="68" t="s">
        <v>251</v>
      </c>
      <c r="B16" s="68">
        <v>2097948000</v>
      </c>
      <c r="C16" s="68">
        <v>2727603000</v>
      </c>
      <c r="D16" s="68">
        <v>1954049000</v>
      </c>
      <c r="E16" s="68">
        <v>2088899000</v>
      </c>
      <c r="F16" s="68">
        <v>1345434000</v>
      </c>
      <c r="G16" s="68">
        <v>1012934600.0000001</v>
      </c>
      <c r="H16" s="68">
        <v>554221000</v>
      </c>
      <c r="I16" s="68">
        <v>414941600.00000006</v>
      </c>
      <c r="J16" s="68">
        <v>359870300</v>
      </c>
      <c r="K16" s="68">
        <v>293986300</v>
      </c>
      <c r="L16" s="68">
        <v>109916299.99999999</v>
      </c>
      <c r="M16" s="68">
        <v>32795400</v>
      </c>
      <c r="N16" s="68">
        <v>3798100</v>
      </c>
    </row>
    <row r="17" spans="1:14" x14ac:dyDescent="0.25">
      <c r="A17" s="68" t="s">
        <v>252</v>
      </c>
      <c r="B17" s="68">
        <v>164070000</v>
      </c>
      <c r="C17" s="68">
        <v>1441101000</v>
      </c>
      <c r="D17" s="68">
        <v>191159000</v>
      </c>
      <c r="E17" s="68">
        <v>548009000</v>
      </c>
      <c r="F17" s="68">
        <v>1273491000</v>
      </c>
      <c r="G17" s="68">
        <v>423738399.99999994</v>
      </c>
      <c r="H17" s="68">
        <v>104103200</v>
      </c>
      <c r="I17" s="68">
        <v>85347300</v>
      </c>
      <c r="J17" s="68">
        <v>29258400</v>
      </c>
      <c r="K17" s="68">
        <v>161860000</v>
      </c>
      <c r="L17" s="68">
        <v>98012200</v>
      </c>
      <c r="M17" s="68">
        <v>119660800</v>
      </c>
      <c r="N17" s="68">
        <v>179559700</v>
      </c>
    </row>
    <row r="18" spans="1:14" x14ac:dyDescent="0.25">
      <c r="A18" s="68" t="s">
        <v>253</v>
      </c>
      <c r="B18" s="68">
        <v>24406000</v>
      </c>
      <c r="C18" s="68" t="s">
        <v>20</v>
      </c>
      <c r="D18" s="68">
        <v>272899000</v>
      </c>
      <c r="E18" s="68" t="s">
        <v>20</v>
      </c>
      <c r="F18" s="68" t="s">
        <v>20</v>
      </c>
      <c r="G18" s="68">
        <v>242099300</v>
      </c>
      <c r="H18" s="68" t="s">
        <v>20</v>
      </c>
      <c r="I18" s="68">
        <v>38902700</v>
      </c>
      <c r="J18" s="68" t="s">
        <v>20</v>
      </c>
      <c r="K18" s="68" t="s">
        <v>20</v>
      </c>
      <c r="L18" s="68" t="s">
        <v>20</v>
      </c>
      <c r="M18" s="68" t="s">
        <v>20</v>
      </c>
      <c r="N18" s="68" t="s">
        <v>20</v>
      </c>
    </row>
    <row r="19" spans="1:14" x14ac:dyDescent="0.25">
      <c r="A19" s="68" t="s">
        <v>254</v>
      </c>
      <c r="B19" s="68" t="s">
        <v>20</v>
      </c>
      <c r="C19" s="68" t="s">
        <v>20</v>
      </c>
      <c r="D19" s="68" t="s">
        <v>20</v>
      </c>
      <c r="E19" s="68">
        <v>42269000</v>
      </c>
      <c r="F19" s="68" t="s">
        <v>20</v>
      </c>
      <c r="G19" s="68">
        <v>3156600.0000000005</v>
      </c>
      <c r="H19" s="68" t="s">
        <v>20</v>
      </c>
      <c r="I19" s="68" t="s">
        <v>20</v>
      </c>
      <c r="J19" s="68" t="s">
        <v>20</v>
      </c>
      <c r="K19" s="68" t="s">
        <v>20</v>
      </c>
      <c r="L19" s="68" t="s">
        <v>20</v>
      </c>
      <c r="M19" s="68" t="s">
        <v>20</v>
      </c>
      <c r="N19" s="68" t="s">
        <v>20</v>
      </c>
    </row>
    <row r="20" spans="1:14" x14ac:dyDescent="0.25">
      <c r="A20" s="68" t="s">
        <v>255</v>
      </c>
      <c r="B20" s="68">
        <v>67998046000</v>
      </c>
      <c r="C20" s="68">
        <v>89296086000</v>
      </c>
      <c r="D20" s="68">
        <v>76323327000</v>
      </c>
      <c r="E20" s="68">
        <v>44741136000</v>
      </c>
      <c r="F20" s="68">
        <v>2618925000</v>
      </c>
      <c r="G20" s="68">
        <v>1682928900</v>
      </c>
      <c r="H20" s="68">
        <v>782910830</v>
      </c>
      <c r="I20" s="68">
        <v>770064610</v>
      </c>
      <c r="J20" s="68">
        <v>1507617930</v>
      </c>
      <c r="K20" s="68">
        <v>1292491572.1900001</v>
      </c>
      <c r="L20" s="68">
        <v>246388363.08000001</v>
      </c>
      <c r="M20" s="68">
        <v>980047798.80999994</v>
      </c>
      <c r="N20" s="68">
        <v>326400812.94</v>
      </c>
    </row>
    <row r="21" spans="1:14" x14ac:dyDescent="0.25">
      <c r="A21" s="68" t="s">
        <v>256</v>
      </c>
      <c r="B21" s="68">
        <v>5611851000</v>
      </c>
      <c r="C21" s="68">
        <v>3218402000</v>
      </c>
      <c r="D21" s="68">
        <v>2323430000</v>
      </c>
      <c r="E21" s="68">
        <v>3130932000</v>
      </c>
      <c r="F21" s="68">
        <v>2678179000</v>
      </c>
      <c r="G21" s="68">
        <v>2115389400</v>
      </c>
      <c r="H21" s="68">
        <v>2818901900</v>
      </c>
      <c r="I21" s="68">
        <v>6782074100</v>
      </c>
      <c r="J21" s="68">
        <v>6823882700</v>
      </c>
      <c r="K21" s="68">
        <v>2062902600</v>
      </c>
      <c r="L21" s="68">
        <v>3167618600</v>
      </c>
      <c r="M21" s="68">
        <v>2371632400</v>
      </c>
      <c r="N21" s="68">
        <v>795350000</v>
      </c>
    </row>
    <row r="22" spans="1:14" x14ac:dyDescent="0.25">
      <c r="A22" s="68" t="s">
        <v>257</v>
      </c>
      <c r="B22" s="68">
        <v>80713830000</v>
      </c>
      <c r="C22" s="68">
        <v>94967122000</v>
      </c>
      <c r="D22" s="68">
        <v>90880725000</v>
      </c>
      <c r="E22" s="68">
        <v>59315666000</v>
      </c>
      <c r="F22" s="68">
        <v>28800775000</v>
      </c>
      <c r="G22" s="68">
        <v>34221430</v>
      </c>
      <c r="H22" s="68" t="s">
        <v>20</v>
      </c>
      <c r="I22" s="68" t="s">
        <v>20</v>
      </c>
      <c r="J22" s="68" t="s">
        <v>20</v>
      </c>
      <c r="K22" s="68">
        <v>2376318361.8699999</v>
      </c>
      <c r="L22" s="68">
        <v>2652803343.6999998</v>
      </c>
      <c r="M22" s="68">
        <v>601266191.49000001</v>
      </c>
      <c r="N22" s="68">
        <v>1390167985.52</v>
      </c>
    </row>
    <row r="23" spans="1:14" x14ac:dyDescent="0.25">
      <c r="A23" s="68" t="s">
        <v>258</v>
      </c>
      <c r="B23" s="68">
        <v>314653000</v>
      </c>
      <c r="C23" s="68">
        <v>25850170000</v>
      </c>
      <c r="D23" s="68">
        <v>2900256000</v>
      </c>
      <c r="E23" s="68">
        <v>283731000</v>
      </c>
      <c r="F23" s="68">
        <v>2368000</v>
      </c>
      <c r="G23" s="68" t="s">
        <v>20</v>
      </c>
      <c r="H23" s="68">
        <v>1961053000</v>
      </c>
      <c r="I23" s="68">
        <v>2917997500</v>
      </c>
      <c r="J23" s="68">
        <v>1375949200.0000002</v>
      </c>
      <c r="K23" s="68" t="s">
        <v>20</v>
      </c>
      <c r="L23" s="68" t="s">
        <v>20</v>
      </c>
      <c r="M23" s="68" t="s">
        <v>20</v>
      </c>
      <c r="N23" s="68" t="s">
        <v>20</v>
      </c>
    </row>
    <row r="24" spans="1:14" x14ac:dyDescent="0.25">
      <c r="A24" s="68" t="s">
        <v>259</v>
      </c>
      <c r="B24" s="68" t="s">
        <v>20</v>
      </c>
      <c r="C24" s="68" t="s">
        <v>20</v>
      </c>
      <c r="D24" s="68" t="s">
        <v>20</v>
      </c>
      <c r="E24" s="68" t="s">
        <v>20</v>
      </c>
      <c r="F24" s="68" t="s">
        <v>20</v>
      </c>
      <c r="G24" s="68" t="s">
        <v>20</v>
      </c>
      <c r="H24" s="68" t="s">
        <v>20</v>
      </c>
      <c r="I24" s="68" t="s">
        <v>20</v>
      </c>
      <c r="J24" s="68">
        <v>54961400</v>
      </c>
      <c r="K24" s="68" t="s">
        <v>20</v>
      </c>
      <c r="L24" s="68" t="s">
        <v>20</v>
      </c>
      <c r="M24" s="68" t="s">
        <v>20</v>
      </c>
      <c r="N24" s="68" t="s">
        <v>20</v>
      </c>
    </row>
    <row r="25" spans="1:14" x14ac:dyDescent="0.25">
      <c r="A25" s="68" t="s">
        <v>260</v>
      </c>
      <c r="B25" s="68">
        <v>86640334000</v>
      </c>
      <c r="C25" s="68">
        <v>124035694000</v>
      </c>
      <c r="D25" s="68">
        <v>96104411000</v>
      </c>
      <c r="E25" s="68">
        <v>62730329000</v>
      </c>
      <c r="F25" s="68">
        <v>31481322000</v>
      </c>
      <c r="G25" s="68">
        <v>2149610840</v>
      </c>
      <c r="H25" s="68">
        <v>4779954830</v>
      </c>
      <c r="I25" s="68">
        <v>9700071550</v>
      </c>
      <c r="J25" s="68">
        <v>8254793310</v>
      </c>
      <c r="K25" s="68">
        <v>4439220984.8400002</v>
      </c>
      <c r="L25" s="68">
        <v>5820421990.5200005</v>
      </c>
      <c r="M25" s="68">
        <v>2972898640.5599999</v>
      </c>
      <c r="N25" s="68">
        <v>2185517975.96</v>
      </c>
    </row>
    <row r="26" spans="1:14" x14ac:dyDescent="0.25">
      <c r="A26" s="68" t="s">
        <v>261</v>
      </c>
      <c r="B26" s="68">
        <v>-18642288000</v>
      </c>
      <c r="C26" s="68">
        <v>-34739608000</v>
      </c>
      <c r="D26" s="68">
        <v>-19781084000</v>
      </c>
      <c r="E26" s="68">
        <v>-17989193000</v>
      </c>
      <c r="F26" s="68">
        <v>-28862397000</v>
      </c>
      <c r="G26" s="68">
        <v>-466681940</v>
      </c>
      <c r="H26" s="68">
        <v>-3997044000</v>
      </c>
      <c r="I26" s="68">
        <v>-8930006940</v>
      </c>
      <c r="J26" s="68">
        <v>-6747175380</v>
      </c>
      <c r="K26" s="68">
        <v>-3146729412.6500001</v>
      </c>
      <c r="L26" s="68">
        <v>-5574033627.4399996</v>
      </c>
      <c r="M26" s="68">
        <v>-1992850841.75</v>
      </c>
      <c r="N26" s="68">
        <v>-1859117163.02</v>
      </c>
    </row>
    <row r="27" spans="1:14" x14ac:dyDescent="0.25">
      <c r="A27" s="68" t="s">
        <v>262</v>
      </c>
      <c r="B27" s="68"/>
      <c r="C27" s="68"/>
      <c r="D27" s="68"/>
      <c r="E27" s="68"/>
      <c r="F27" s="68"/>
      <c r="G27" s="68"/>
      <c r="H27" s="68"/>
      <c r="I27" s="68"/>
      <c r="J27" s="68"/>
      <c r="K27" s="68"/>
      <c r="L27" s="68"/>
      <c r="M27" s="68"/>
      <c r="N27" s="68"/>
    </row>
    <row r="28" spans="1:14" x14ac:dyDescent="0.25">
      <c r="A28" s="68" t="s">
        <v>263</v>
      </c>
      <c r="B28" s="68">
        <v>2713366000</v>
      </c>
      <c r="C28" s="68">
        <v>1668205000</v>
      </c>
      <c r="D28" s="68">
        <v>814845000</v>
      </c>
      <c r="E28" s="68">
        <v>1701630000</v>
      </c>
      <c r="F28" s="68">
        <v>7928000</v>
      </c>
      <c r="G28" s="68">
        <v>16804100</v>
      </c>
      <c r="H28" s="68">
        <v>92146800</v>
      </c>
      <c r="I28" s="68">
        <v>4394373900</v>
      </c>
      <c r="J28" s="68">
        <v>81026000</v>
      </c>
      <c r="K28" s="68">
        <v>3273551300</v>
      </c>
      <c r="L28" s="68">
        <v>59465600.000000007</v>
      </c>
      <c r="M28" s="68">
        <v>574793500</v>
      </c>
      <c r="N28" s="68">
        <v>51255200.000000007</v>
      </c>
    </row>
    <row r="29" spans="1:14" x14ac:dyDescent="0.25">
      <c r="A29" s="68" t="s">
        <v>264</v>
      </c>
      <c r="B29" s="68">
        <v>615092000</v>
      </c>
      <c r="C29" s="68">
        <v>43052000</v>
      </c>
      <c r="D29" s="68">
        <v>32593000</v>
      </c>
      <c r="E29" s="68">
        <v>53440000</v>
      </c>
      <c r="F29" s="68">
        <v>7928000</v>
      </c>
      <c r="G29" s="68">
        <v>16804100</v>
      </c>
      <c r="H29" s="68">
        <v>92146800</v>
      </c>
      <c r="I29" s="68">
        <v>4394373900</v>
      </c>
      <c r="J29" s="68">
        <v>72568600</v>
      </c>
      <c r="K29" s="68" t="s">
        <v>20</v>
      </c>
      <c r="L29" s="68">
        <v>59465600.000000007</v>
      </c>
      <c r="M29" s="68">
        <v>74793500</v>
      </c>
      <c r="N29" s="68" t="s">
        <v>20</v>
      </c>
    </row>
    <row r="30" spans="1:14" x14ac:dyDescent="0.25">
      <c r="A30" s="68" t="s">
        <v>265</v>
      </c>
      <c r="B30" s="68">
        <v>2524315000</v>
      </c>
      <c r="C30" s="68">
        <v>62169886000</v>
      </c>
      <c r="D30" s="68">
        <v>32422027000</v>
      </c>
      <c r="E30" s="68">
        <v>24515274000</v>
      </c>
      <c r="F30" s="68">
        <v>37288846000</v>
      </c>
      <c r="G30" s="68">
        <v>31640205800</v>
      </c>
      <c r="H30" s="68">
        <v>23058709400</v>
      </c>
      <c r="I30" s="68">
        <v>25572010099.999996</v>
      </c>
      <c r="J30" s="68">
        <v>12617654000</v>
      </c>
      <c r="K30" s="68">
        <v>10026360900</v>
      </c>
      <c r="L30" s="68">
        <v>10987323400</v>
      </c>
      <c r="M30" s="68">
        <v>3861427000</v>
      </c>
      <c r="N30" s="68">
        <v>2165427900</v>
      </c>
    </row>
    <row r="31" spans="1:14" x14ac:dyDescent="0.25">
      <c r="A31" s="68" t="s">
        <v>266</v>
      </c>
      <c r="B31" s="68" t="s">
        <v>20</v>
      </c>
      <c r="C31" s="68" t="s">
        <v>20</v>
      </c>
      <c r="D31" s="68" t="s">
        <v>20</v>
      </c>
      <c r="E31" s="68" t="s">
        <v>20</v>
      </c>
      <c r="F31" s="68" t="s">
        <v>20</v>
      </c>
      <c r="G31" s="68" t="s">
        <v>20</v>
      </c>
      <c r="H31" s="68">
        <v>1000000000</v>
      </c>
      <c r="I31" s="68">
        <v>4500000000</v>
      </c>
      <c r="J31" s="68">
        <v>3500000000</v>
      </c>
      <c r="K31" s="68">
        <v>2000000000</v>
      </c>
      <c r="L31" s="68" t="s">
        <v>20</v>
      </c>
      <c r="M31" s="68" t="s">
        <v>20</v>
      </c>
      <c r="N31" s="68" t="s">
        <v>20</v>
      </c>
    </row>
    <row r="32" spans="1:14" x14ac:dyDescent="0.25">
      <c r="A32" s="68" t="s">
        <v>267</v>
      </c>
      <c r="B32" s="68" t="s">
        <v>20</v>
      </c>
      <c r="C32" s="68" t="s">
        <v>20</v>
      </c>
      <c r="D32" s="68" t="s">
        <v>20</v>
      </c>
      <c r="E32" s="68">
        <v>166715000</v>
      </c>
      <c r="F32" s="68" t="s">
        <v>20</v>
      </c>
      <c r="G32" s="68" t="s">
        <v>20</v>
      </c>
      <c r="H32" s="68">
        <v>996000000</v>
      </c>
      <c r="I32" s="68">
        <v>817639900</v>
      </c>
      <c r="J32" s="68">
        <v>434155500</v>
      </c>
      <c r="K32" s="68" t="s">
        <v>20</v>
      </c>
      <c r="L32" s="68">
        <v>2800000000</v>
      </c>
      <c r="M32" s="68" t="s">
        <v>20</v>
      </c>
      <c r="N32" s="68" t="s">
        <v>20</v>
      </c>
    </row>
    <row r="33" spans="1:14" x14ac:dyDescent="0.25">
      <c r="A33" s="68" t="s">
        <v>268</v>
      </c>
      <c r="B33" s="68">
        <v>5237681000</v>
      </c>
      <c r="C33" s="68">
        <v>63838091000</v>
      </c>
      <c r="D33" s="68">
        <v>35236372000</v>
      </c>
      <c r="E33" s="68">
        <v>26383619000</v>
      </c>
      <c r="F33" s="68">
        <v>37296774000</v>
      </c>
      <c r="G33" s="68">
        <v>31657009890</v>
      </c>
      <c r="H33" s="68">
        <v>25146856140</v>
      </c>
      <c r="I33" s="68">
        <v>35284023950</v>
      </c>
      <c r="J33" s="68">
        <v>16632835440</v>
      </c>
      <c r="K33" s="68">
        <v>15299912168.629999</v>
      </c>
      <c r="L33" s="68">
        <v>13846789027.969999</v>
      </c>
      <c r="M33" s="68">
        <v>4436220484.5900002</v>
      </c>
      <c r="N33" s="68">
        <v>2216683042.46</v>
      </c>
    </row>
    <row r="34" spans="1:14" x14ac:dyDescent="0.25">
      <c r="A34" s="68" t="s">
        <v>269</v>
      </c>
      <c r="B34" s="68">
        <v>3378492000</v>
      </c>
      <c r="C34" s="68">
        <v>36074251000</v>
      </c>
      <c r="D34" s="68">
        <v>26961143000</v>
      </c>
      <c r="E34" s="68">
        <v>29352243000</v>
      </c>
      <c r="F34" s="68">
        <v>39654309000</v>
      </c>
      <c r="G34" s="68">
        <v>29133403330</v>
      </c>
      <c r="H34" s="68">
        <v>23951308870</v>
      </c>
      <c r="I34" s="68">
        <v>21783764020</v>
      </c>
      <c r="J34" s="68">
        <v>8943859800</v>
      </c>
      <c r="K34" s="68">
        <v>9662040000</v>
      </c>
      <c r="L34" s="68">
        <v>10380835178.18</v>
      </c>
      <c r="M34" s="68">
        <v>2316527856.6300001</v>
      </c>
      <c r="N34" s="68">
        <v>2192971937.5</v>
      </c>
    </row>
    <row r="35" spans="1:14" x14ac:dyDescent="0.25">
      <c r="A35" s="68" t="s">
        <v>270</v>
      </c>
      <c r="B35" s="68">
        <v>9303222000</v>
      </c>
      <c r="C35" s="68">
        <v>7908056000</v>
      </c>
      <c r="D35" s="68">
        <v>6046355000</v>
      </c>
      <c r="E35" s="68">
        <v>4908031000</v>
      </c>
      <c r="F35" s="68">
        <v>4052595000</v>
      </c>
      <c r="G35" s="68">
        <v>2313735400</v>
      </c>
      <c r="H35" s="68">
        <v>2595764500</v>
      </c>
      <c r="I35" s="68">
        <v>3240792000</v>
      </c>
      <c r="J35" s="68">
        <v>1531929000</v>
      </c>
      <c r="K35" s="68">
        <v>1459689200.0000002</v>
      </c>
      <c r="L35" s="68">
        <v>882726100</v>
      </c>
      <c r="M35" s="68">
        <v>790041200</v>
      </c>
      <c r="N35" s="68">
        <v>460764500</v>
      </c>
    </row>
    <row r="36" spans="1:14" x14ac:dyDescent="0.25">
      <c r="A36" s="68" t="s">
        <v>271</v>
      </c>
      <c r="B36" s="68">
        <v>815998000</v>
      </c>
      <c r="C36" s="68">
        <v>815164000</v>
      </c>
      <c r="D36" s="68">
        <v>563320000</v>
      </c>
      <c r="E36" s="68" t="s">
        <v>20</v>
      </c>
      <c r="F36" s="68">
        <v>530052000</v>
      </c>
      <c r="G36" s="68">
        <v>1662070400</v>
      </c>
      <c r="H36" s="68">
        <v>1191070700</v>
      </c>
      <c r="I36" s="68">
        <v>1087119900</v>
      </c>
      <c r="J36" s="68" t="s">
        <v>20</v>
      </c>
      <c r="K36" s="68" t="s">
        <v>20</v>
      </c>
      <c r="L36" s="68" t="s">
        <v>20</v>
      </c>
      <c r="M36" s="68">
        <v>392576700</v>
      </c>
      <c r="N36" s="68" t="s">
        <v>20</v>
      </c>
    </row>
    <row r="37" spans="1:14" x14ac:dyDescent="0.25">
      <c r="A37" s="68" t="s">
        <v>272</v>
      </c>
      <c r="B37" s="68">
        <v>5943131000</v>
      </c>
      <c r="C37" s="68">
        <v>204139000</v>
      </c>
      <c r="D37" s="68">
        <v>69462000</v>
      </c>
      <c r="E37" s="68" t="s">
        <v>20</v>
      </c>
      <c r="F37" s="68" t="s">
        <v>20</v>
      </c>
      <c r="G37" s="68">
        <v>1074000000</v>
      </c>
      <c r="H37" s="68" t="s">
        <v>20</v>
      </c>
      <c r="I37" s="68" t="s">
        <v>20</v>
      </c>
      <c r="J37" s="68" t="s">
        <v>20</v>
      </c>
      <c r="K37" s="68">
        <v>190609100</v>
      </c>
      <c r="L37" s="68" t="s">
        <v>20</v>
      </c>
      <c r="M37" s="68" t="s">
        <v>20</v>
      </c>
      <c r="N37" s="68" t="s">
        <v>20</v>
      </c>
    </row>
    <row r="38" spans="1:14" x14ac:dyDescent="0.25">
      <c r="A38" s="68" t="s">
        <v>273</v>
      </c>
      <c r="B38" s="68">
        <v>18624845000</v>
      </c>
      <c r="C38" s="68">
        <v>44186446000</v>
      </c>
      <c r="D38" s="68">
        <v>35076460000</v>
      </c>
      <c r="E38" s="68">
        <v>35260272000</v>
      </c>
      <c r="F38" s="68">
        <v>44706904000</v>
      </c>
      <c r="G38" s="68">
        <v>37021138710</v>
      </c>
      <c r="H38" s="68">
        <v>30047073350</v>
      </c>
      <c r="I38" s="68">
        <v>25024555990</v>
      </c>
      <c r="J38" s="68">
        <v>12475788830</v>
      </c>
      <c r="K38" s="68">
        <v>14112338322.9</v>
      </c>
      <c r="L38" s="68">
        <v>11263561251.92</v>
      </c>
      <c r="M38" s="68">
        <v>3106569038.8299999</v>
      </c>
      <c r="N38" s="68">
        <v>2653736481.5100002</v>
      </c>
    </row>
    <row r="39" spans="1:14" x14ac:dyDescent="0.25">
      <c r="A39" s="68" t="s">
        <v>274</v>
      </c>
      <c r="B39" s="68">
        <v>-13387164000</v>
      </c>
      <c r="C39" s="68">
        <v>19651645000</v>
      </c>
      <c r="D39" s="68">
        <v>159912000</v>
      </c>
      <c r="E39" s="68">
        <v>-8876653000</v>
      </c>
      <c r="F39" s="68">
        <v>-7410130000</v>
      </c>
      <c r="G39" s="68">
        <v>-5364128820</v>
      </c>
      <c r="H39" s="68">
        <v>-4900217210</v>
      </c>
      <c r="I39" s="68">
        <v>10259467960</v>
      </c>
      <c r="J39" s="68">
        <v>4157046610</v>
      </c>
      <c r="K39" s="68">
        <v>1187573845.73</v>
      </c>
      <c r="L39" s="68">
        <v>2583227776.0500002</v>
      </c>
      <c r="M39" s="68">
        <v>1329651445.76</v>
      </c>
      <c r="N39" s="68">
        <v>-437053439.05000001</v>
      </c>
    </row>
    <row r="40" spans="1:14" x14ac:dyDescent="0.25">
      <c r="A40" s="68" t="s">
        <v>275</v>
      </c>
      <c r="B40" s="68">
        <v>289001000</v>
      </c>
      <c r="C40" s="68">
        <v>-36737000</v>
      </c>
      <c r="D40" s="68">
        <v>252576000</v>
      </c>
      <c r="E40" s="68">
        <v>16669000</v>
      </c>
      <c r="F40" s="68">
        <v>-7619000</v>
      </c>
      <c r="G40" s="68">
        <v>-3590600</v>
      </c>
      <c r="H40" s="68">
        <v>-2321200</v>
      </c>
      <c r="I40" s="68">
        <v>-465100</v>
      </c>
      <c r="J40" s="68">
        <v>-7468000</v>
      </c>
      <c r="K40" s="68">
        <v>-6653400</v>
      </c>
      <c r="L40" s="68">
        <v>-7609800</v>
      </c>
      <c r="M40" s="68" t="s">
        <v>20</v>
      </c>
      <c r="N40" s="68" t="s">
        <v>20</v>
      </c>
    </row>
    <row r="41" spans="1:14" x14ac:dyDescent="0.25">
      <c r="A41" s="68" t="s">
        <v>276</v>
      </c>
      <c r="B41" s="68">
        <v>-3879371000</v>
      </c>
      <c r="C41" s="68">
        <v>9317923000</v>
      </c>
      <c r="D41" s="68">
        <v>7326413000</v>
      </c>
      <c r="E41" s="68">
        <v>-84923000</v>
      </c>
      <c r="F41" s="68">
        <v>-11491634000</v>
      </c>
      <c r="G41" s="68">
        <v>4219795000</v>
      </c>
      <c r="H41" s="68">
        <v>-810015800</v>
      </c>
      <c r="I41" s="68">
        <v>5435185400</v>
      </c>
      <c r="J41" s="68">
        <v>1669343599.9999998</v>
      </c>
      <c r="K41" s="68">
        <v>1815607800</v>
      </c>
      <c r="L41" s="68">
        <v>1421184800</v>
      </c>
      <c r="M41" s="68">
        <v>1486541400.0000002</v>
      </c>
      <c r="N41" s="68">
        <v>119384400</v>
      </c>
    </row>
    <row r="42" spans="1:14" x14ac:dyDescent="0.25">
      <c r="A42" s="68" t="s">
        <v>277</v>
      </c>
      <c r="B42" s="68">
        <v>21831653000</v>
      </c>
      <c r="C42" s="68">
        <v>12513730000</v>
      </c>
      <c r="D42" s="68">
        <v>5187317000</v>
      </c>
      <c r="E42" s="68">
        <v>5272240000</v>
      </c>
      <c r="F42" s="68">
        <v>16763874000</v>
      </c>
      <c r="G42" s="68">
        <v>12544078799.999998</v>
      </c>
      <c r="H42" s="68">
        <v>13354094500</v>
      </c>
      <c r="I42" s="68">
        <v>7918909100</v>
      </c>
      <c r="J42" s="68" t="s">
        <v>20</v>
      </c>
      <c r="K42" s="68">
        <v>4645146400</v>
      </c>
      <c r="L42" s="68" t="s">
        <v>20</v>
      </c>
      <c r="M42" s="68" t="s">
        <v>20</v>
      </c>
      <c r="N42" s="68" t="s">
        <v>20</v>
      </c>
    </row>
    <row r="43" spans="1:14" x14ac:dyDescent="0.25">
      <c r="A43" s="68" t="s">
        <v>278</v>
      </c>
      <c r="B43" s="68">
        <v>17952282000</v>
      </c>
      <c r="C43" s="68">
        <v>21831653000</v>
      </c>
      <c r="D43" s="68">
        <v>12513730000</v>
      </c>
      <c r="E43" s="68">
        <v>5187317000</v>
      </c>
      <c r="F43" s="68">
        <v>5272240000</v>
      </c>
      <c r="G43" s="68">
        <v>16763873799.999998</v>
      </c>
      <c r="H43" s="68">
        <v>12544078799.999998</v>
      </c>
      <c r="I43" s="68">
        <v>13354094500</v>
      </c>
      <c r="J43" s="68" t="s">
        <v>20</v>
      </c>
      <c r="K43" s="68">
        <v>6460754200</v>
      </c>
      <c r="L43" s="68" t="s">
        <v>20</v>
      </c>
      <c r="M43" s="68" t="s">
        <v>20</v>
      </c>
      <c r="N43" s="68" t="s">
        <v>20</v>
      </c>
    </row>
    <row r="44" spans="1:14" x14ac:dyDescent="0.25">
      <c r="A44" s="68" t="s">
        <v>279</v>
      </c>
      <c r="B44" s="68"/>
      <c r="C44" s="68"/>
      <c r="D44" s="68"/>
      <c r="E44" s="68"/>
      <c r="F44" s="68"/>
      <c r="G44" s="68"/>
      <c r="H44" s="68"/>
      <c r="I44" s="68"/>
      <c r="J44" s="68"/>
      <c r="K44" s="68"/>
      <c r="L44" s="68"/>
      <c r="M44" s="68"/>
      <c r="N44" s="68"/>
    </row>
    <row r="45" spans="1:14" x14ac:dyDescent="0.25">
      <c r="A45" s="68" t="s">
        <v>280</v>
      </c>
      <c r="B45" s="68"/>
      <c r="C45" s="68"/>
      <c r="D45" s="68"/>
      <c r="E45" s="68"/>
      <c r="F45" s="68"/>
      <c r="G45" s="68"/>
      <c r="H45" s="68"/>
      <c r="I45" s="68"/>
      <c r="J45" s="68"/>
      <c r="K45" s="68"/>
      <c r="L45" s="68"/>
      <c r="M45" s="68"/>
      <c r="N45" s="68"/>
    </row>
    <row r="46" spans="1:14" x14ac:dyDescent="0.25">
      <c r="A46" s="68" t="s">
        <v>281</v>
      </c>
      <c r="B46" s="68">
        <v>21650419000</v>
      </c>
      <c r="C46" s="68">
        <v>18611190000</v>
      </c>
      <c r="D46" s="68">
        <v>15861912000</v>
      </c>
      <c r="E46" s="68">
        <v>13624655000</v>
      </c>
      <c r="F46" s="68">
        <v>11646328000</v>
      </c>
      <c r="G46" s="68">
        <v>8297496400</v>
      </c>
      <c r="H46" s="68">
        <v>6140889600</v>
      </c>
      <c r="I46" s="68">
        <v>6651873300</v>
      </c>
      <c r="J46" s="68">
        <v>6461395800</v>
      </c>
      <c r="K46" s="68" t="s">
        <v>20</v>
      </c>
      <c r="L46" s="68">
        <v>2658407000</v>
      </c>
      <c r="M46" s="68">
        <v>2616900000</v>
      </c>
      <c r="N46" s="68">
        <v>1596833500</v>
      </c>
    </row>
    <row r="47" spans="1:14" x14ac:dyDescent="0.25">
      <c r="A47" s="68" t="s">
        <v>282</v>
      </c>
      <c r="B47" s="68">
        <v>447864000</v>
      </c>
      <c r="C47" s="68">
        <v>269112000</v>
      </c>
      <c r="D47" s="68">
        <v>380812000</v>
      </c>
      <c r="E47" s="68">
        <v>4766000</v>
      </c>
      <c r="F47" s="68">
        <v>349818000</v>
      </c>
      <c r="G47" s="68">
        <v>107397400</v>
      </c>
      <c r="H47" s="68">
        <v>48876400</v>
      </c>
      <c r="I47" s="68">
        <v>41797900</v>
      </c>
      <c r="J47" s="68">
        <v>50032100</v>
      </c>
      <c r="K47" s="68" t="s">
        <v>20</v>
      </c>
      <c r="L47" s="68">
        <v>149581900</v>
      </c>
      <c r="M47" s="68">
        <v>79911900</v>
      </c>
      <c r="N47" s="68">
        <v>5532100</v>
      </c>
    </row>
    <row r="48" spans="1:14" x14ac:dyDescent="0.25">
      <c r="A48" s="68" t="s">
        <v>283</v>
      </c>
      <c r="B48" s="68">
        <v>4817456000</v>
      </c>
      <c r="C48" s="68" t="s">
        <v>20</v>
      </c>
      <c r="D48" s="68" t="s">
        <v>20</v>
      </c>
      <c r="E48" s="68" t="s">
        <v>20</v>
      </c>
      <c r="F48" s="68" t="s">
        <v>20</v>
      </c>
      <c r="G48" s="68">
        <v>2301876600</v>
      </c>
      <c r="H48" s="68">
        <v>2118543200</v>
      </c>
      <c r="I48" s="68">
        <v>2115252600</v>
      </c>
      <c r="J48" s="68">
        <v>1265091000</v>
      </c>
      <c r="K48" s="68" t="s">
        <v>20</v>
      </c>
      <c r="L48" s="68">
        <v>762904000</v>
      </c>
      <c r="M48" s="68">
        <v>536421700</v>
      </c>
      <c r="N48" s="68">
        <v>447876100</v>
      </c>
    </row>
    <row r="49" spans="1:14" x14ac:dyDescent="0.25">
      <c r="A49" s="68" t="s">
        <v>18</v>
      </c>
      <c r="B49" s="68" t="s">
        <v>20</v>
      </c>
      <c r="C49" s="68" t="s">
        <v>20</v>
      </c>
      <c r="D49" s="68" t="s">
        <v>20</v>
      </c>
      <c r="E49" s="68" t="s">
        <v>20</v>
      </c>
      <c r="F49" s="68" t="s">
        <v>20</v>
      </c>
      <c r="G49" s="68">
        <v>97914900</v>
      </c>
      <c r="H49" s="68">
        <v>127488300</v>
      </c>
      <c r="I49" s="68">
        <v>117757700</v>
      </c>
      <c r="J49" s="68">
        <v>66932700.000000007</v>
      </c>
      <c r="K49" s="68" t="s">
        <v>20</v>
      </c>
      <c r="L49" s="68">
        <v>36956200</v>
      </c>
      <c r="M49" s="68">
        <v>22692500</v>
      </c>
      <c r="N49" s="68">
        <v>19417400</v>
      </c>
    </row>
    <row r="50" spans="1:14" x14ac:dyDescent="0.25">
      <c r="A50" s="68" t="s">
        <v>19</v>
      </c>
      <c r="B50" s="68" t="s">
        <v>20</v>
      </c>
      <c r="C50" s="68" t="s">
        <v>20</v>
      </c>
      <c r="D50" s="68" t="s">
        <v>20</v>
      </c>
      <c r="E50" s="68" t="s">
        <v>20</v>
      </c>
      <c r="F50" s="68" t="s">
        <v>20</v>
      </c>
      <c r="G50" s="68">
        <v>644951500</v>
      </c>
      <c r="H50" s="68">
        <v>547168200</v>
      </c>
      <c r="I50" s="68">
        <v>348683200</v>
      </c>
      <c r="J50" s="68">
        <v>214040700</v>
      </c>
      <c r="K50" s="68" t="s">
        <v>20</v>
      </c>
      <c r="L50" s="68">
        <v>195285300</v>
      </c>
      <c r="M50" s="68">
        <v>240743600</v>
      </c>
      <c r="N50" s="68">
        <v>232533200</v>
      </c>
    </row>
    <row r="51" spans="1:14" x14ac:dyDescent="0.25">
      <c r="A51" s="68" t="s">
        <v>284</v>
      </c>
      <c r="B51" s="68">
        <v>-34934000</v>
      </c>
      <c r="C51" s="68">
        <v>-1327251000</v>
      </c>
      <c r="D51" s="68">
        <v>111874000</v>
      </c>
      <c r="E51" s="68">
        <v>234083000</v>
      </c>
      <c r="F51" s="68">
        <v>216789000</v>
      </c>
      <c r="G51" s="68">
        <v>167018500</v>
      </c>
      <c r="H51" s="68">
        <v>22386200</v>
      </c>
      <c r="I51" s="68">
        <v>34563800</v>
      </c>
      <c r="J51" s="68">
        <v>183046200</v>
      </c>
      <c r="K51" s="68" t="s">
        <v>20</v>
      </c>
      <c r="L51" s="68">
        <v>32910200</v>
      </c>
      <c r="M51" s="68">
        <v>53755900</v>
      </c>
      <c r="N51" s="68">
        <v>16315100</v>
      </c>
    </row>
    <row r="52" spans="1:14" x14ac:dyDescent="0.25">
      <c r="A52" s="68" t="s">
        <v>285</v>
      </c>
      <c r="B52" s="68" t="s">
        <v>20</v>
      </c>
      <c r="C52" s="68" t="s">
        <v>20</v>
      </c>
      <c r="D52" s="68" t="s">
        <v>20</v>
      </c>
      <c r="E52" s="68" t="s">
        <v>20</v>
      </c>
      <c r="F52" s="68" t="s">
        <v>20</v>
      </c>
      <c r="G52" s="68">
        <v>138600</v>
      </c>
      <c r="H52" s="68" t="s">
        <v>20</v>
      </c>
      <c r="I52" s="68" t="s">
        <v>20</v>
      </c>
      <c r="J52" s="68">
        <v>7273000</v>
      </c>
      <c r="K52" s="68" t="s">
        <v>20</v>
      </c>
      <c r="L52" s="68">
        <v>40100</v>
      </c>
      <c r="M52" s="68" t="s">
        <v>20</v>
      </c>
      <c r="N52" s="68">
        <v>704300.00000000012</v>
      </c>
    </row>
    <row r="53" spans="1:14" x14ac:dyDescent="0.25">
      <c r="A53" s="68" t="s">
        <v>286</v>
      </c>
      <c r="B53" s="68">
        <v>810450000</v>
      </c>
      <c r="C53" s="68">
        <v>25045000</v>
      </c>
      <c r="D53" s="68">
        <v>-117376000</v>
      </c>
      <c r="E53" s="68">
        <v>-81611000</v>
      </c>
      <c r="F53" s="68">
        <v>652791000</v>
      </c>
      <c r="G53" s="68">
        <v>-546266000</v>
      </c>
      <c r="H53" s="68">
        <v>-17752900</v>
      </c>
      <c r="I53" s="68">
        <v>-54997100</v>
      </c>
      <c r="J53" s="68">
        <v>-119222300</v>
      </c>
      <c r="K53" s="68" t="s">
        <v>20</v>
      </c>
      <c r="L53" s="68">
        <v>-319013100</v>
      </c>
      <c r="M53" s="68">
        <v>-59964200</v>
      </c>
      <c r="N53" s="68" t="s">
        <v>20</v>
      </c>
    </row>
    <row r="54" spans="1:14" x14ac:dyDescent="0.25">
      <c r="A54" s="68" t="s">
        <v>287</v>
      </c>
      <c r="B54" s="68">
        <v>-1265831000</v>
      </c>
      <c r="C54" s="68">
        <v>32845000</v>
      </c>
      <c r="D54" s="68">
        <v>-648949000</v>
      </c>
      <c r="E54" s="68">
        <v>-317043000</v>
      </c>
      <c r="F54" s="68">
        <v>100069000</v>
      </c>
      <c r="G54" s="68">
        <v>554575300</v>
      </c>
      <c r="H54" s="68">
        <v>904693800</v>
      </c>
      <c r="I54" s="68">
        <v>897686200</v>
      </c>
      <c r="J54" s="68">
        <v>668344600.00000012</v>
      </c>
      <c r="K54" s="68" t="s">
        <v>20</v>
      </c>
      <c r="L54" s="68">
        <v>452092000</v>
      </c>
      <c r="M54" s="68">
        <v>207614900.00000003</v>
      </c>
      <c r="N54" s="68">
        <v>148019100</v>
      </c>
    </row>
    <row r="55" spans="1:14" x14ac:dyDescent="0.25">
      <c r="A55" s="68" t="s">
        <v>288</v>
      </c>
      <c r="B55" s="68">
        <v>-907326000</v>
      </c>
      <c r="C55" s="68">
        <v>-1830221000</v>
      </c>
      <c r="D55" s="68">
        <v>-1285961000</v>
      </c>
      <c r="E55" s="68">
        <v>-2011269000</v>
      </c>
      <c r="F55" s="68">
        <v>-1511122000</v>
      </c>
      <c r="G55" s="68">
        <v>-997979000</v>
      </c>
      <c r="H55" s="68">
        <v>-534518200</v>
      </c>
      <c r="I55" s="68">
        <v>-802215200</v>
      </c>
      <c r="J55" s="68">
        <v>-442342200</v>
      </c>
      <c r="K55" s="68" t="s">
        <v>20</v>
      </c>
      <c r="L55" s="68">
        <v>-180231600</v>
      </c>
      <c r="M55" s="68">
        <v>-711995000</v>
      </c>
      <c r="N55" s="68">
        <v>-91818000</v>
      </c>
    </row>
    <row r="56" spans="1:14" x14ac:dyDescent="0.25">
      <c r="A56" s="68" t="s">
        <v>289</v>
      </c>
      <c r="B56" s="68">
        <v>-360724000</v>
      </c>
      <c r="C56" s="68">
        <v>-635894000</v>
      </c>
      <c r="D56" s="68">
        <v>-760228000</v>
      </c>
      <c r="E56" s="68">
        <v>1497537000</v>
      </c>
      <c r="F56" s="68">
        <v>-1198425000</v>
      </c>
      <c r="G56" s="68">
        <v>-1782077000</v>
      </c>
      <c r="H56" s="68">
        <v>-69905500</v>
      </c>
      <c r="I56" s="68">
        <v>212326900</v>
      </c>
      <c r="J56" s="68">
        <v>-8410000</v>
      </c>
      <c r="K56" s="68" t="s">
        <v>20</v>
      </c>
      <c r="L56" s="68">
        <v>-38515900</v>
      </c>
      <c r="M56" s="68">
        <v>-148876700</v>
      </c>
      <c r="N56" s="68" t="s">
        <v>20</v>
      </c>
    </row>
    <row r="57" spans="1:14" x14ac:dyDescent="0.25">
      <c r="A57" s="68" t="s">
        <v>290</v>
      </c>
      <c r="B57" s="68">
        <v>478982000</v>
      </c>
      <c r="C57" s="68">
        <v>-1055005000</v>
      </c>
      <c r="D57" s="68">
        <v>-61501000</v>
      </c>
      <c r="E57" s="68">
        <v>5468000</v>
      </c>
      <c r="F57" s="68">
        <v>-97715000</v>
      </c>
      <c r="G57" s="68">
        <v>37639800</v>
      </c>
      <c r="H57" s="68">
        <v>35578200</v>
      </c>
      <c r="I57" s="68">
        <v>-31176100</v>
      </c>
      <c r="J57" s="68">
        <v>-11613000</v>
      </c>
      <c r="K57" s="68" t="s">
        <v>20</v>
      </c>
      <c r="L57" s="68">
        <v>-4973200</v>
      </c>
      <c r="M57" s="68" t="s">
        <v>20</v>
      </c>
      <c r="N57" s="68" t="s">
        <v>20</v>
      </c>
    </row>
    <row r="58" spans="1:14" x14ac:dyDescent="0.25">
      <c r="A58" s="68" t="s">
        <v>291</v>
      </c>
      <c r="B58" s="68">
        <v>-77387000</v>
      </c>
      <c r="C58" s="68">
        <v>-7730304000</v>
      </c>
      <c r="D58" s="68">
        <v>-3741683000</v>
      </c>
      <c r="E58" s="68">
        <v>4656838000</v>
      </c>
      <c r="F58" s="68">
        <v>118729000</v>
      </c>
      <c r="G58" s="68">
        <v>-1865958800</v>
      </c>
      <c r="H58" s="68">
        <v>2963817600</v>
      </c>
      <c r="I58" s="68">
        <v>-2674056100</v>
      </c>
      <c r="J58" s="68">
        <v>-9070721500</v>
      </c>
      <c r="K58" s="68" t="s">
        <v>20</v>
      </c>
      <c r="L58" s="68">
        <v>3268863400.0000005</v>
      </c>
      <c r="M58" s="68">
        <v>-3270985700</v>
      </c>
      <c r="N58" s="68">
        <v>-1583986400.0000002</v>
      </c>
    </row>
    <row r="59" spans="1:14" x14ac:dyDescent="0.25">
      <c r="A59" s="68" t="s">
        <v>292</v>
      </c>
      <c r="B59" s="68">
        <v>-17867374000</v>
      </c>
      <c r="C59" s="68">
        <v>-10314517000</v>
      </c>
      <c r="D59" s="68">
        <v>-841862000</v>
      </c>
      <c r="E59" s="68">
        <v>3769036000</v>
      </c>
      <c r="F59" s="68">
        <v>-9098389000</v>
      </c>
      <c r="G59" s="68">
        <v>-4873219000</v>
      </c>
      <c r="H59" s="68">
        <v>-1894863400</v>
      </c>
      <c r="I59" s="68">
        <v>-6825529200</v>
      </c>
      <c r="J59" s="68">
        <v>-2676796800</v>
      </c>
      <c r="K59" s="68" t="s">
        <v>20</v>
      </c>
      <c r="L59" s="68">
        <v>-4189063900</v>
      </c>
      <c r="M59" s="68">
        <v>-715293200.00000012</v>
      </c>
      <c r="N59" s="68">
        <v>-1508155200</v>
      </c>
    </row>
    <row r="60" spans="1:14" x14ac:dyDescent="0.25">
      <c r="A60" s="68" t="s">
        <v>293</v>
      </c>
      <c r="B60" s="68">
        <v>19226732000</v>
      </c>
      <c r="C60" s="68">
        <v>20860180000</v>
      </c>
      <c r="D60" s="68">
        <v>13673057000</v>
      </c>
      <c r="E60" s="68">
        <v>2152117000</v>
      </c>
      <c r="F60" s="68">
        <v>20112877000</v>
      </c>
      <c r="G60" s="68">
        <v>12919529800</v>
      </c>
      <c r="H60" s="68">
        <v>-3903204099.9999995</v>
      </c>
      <c r="I60" s="68">
        <v>4092363800</v>
      </c>
      <c r="J60" s="68">
        <v>7695103500</v>
      </c>
      <c r="K60" s="68" t="s">
        <v>20</v>
      </c>
      <c r="L60" s="68">
        <v>1594358000</v>
      </c>
      <c r="M60" s="68">
        <v>3298815100</v>
      </c>
      <c r="N60" s="68">
        <v>2788058700</v>
      </c>
    </row>
    <row r="61" spans="1:14" x14ac:dyDescent="0.25">
      <c r="A61" s="68" t="s">
        <v>294</v>
      </c>
      <c r="B61" s="68" t="s">
        <v>20</v>
      </c>
      <c r="C61" s="68" t="s">
        <v>20</v>
      </c>
      <c r="D61" s="68" t="s">
        <v>20</v>
      </c>
      <c r="E61" s="68" t="s">
        <v>20</v>
      </c>
      <c r="F61" s="68" t="s">
        <v>20</v>
      </c>
      <c r="G61" s="68" t="s">
        <v>20</v>
      </c>
      <c r="H61" s="68">
        <v>1570837700</v>
      </c>
      <c r="I61" s="68">
        <v>600050700</v>
      </c>
      <c r="J61" s="68">
        <v>225799.99999999997</v>
      </c>
      <c r="K61" s="68" t="s">
        <v>20</v>
      </c>
      <c r="L61" s="68" t="s">
        <v>20</v>
      </c>
      <c r="M61" s="68" t="s">
        <v>20</v>
      </c>
      <c r="N61" s="68" t="s">
        <v>20</v>
      </c>
    </row>
    <row r="62" spans="1:14" x14ac:dyDescent="0.25">
      <c r="A62" s="68" t="s">
        <v>295</v>
      </c>
      <c r="B62" s="68">
        <v>27861080000</v>
      </c>
      <c r="C62" s="68">
        <v>24442623000</v>
      </c>
      <c r="D62" s="68">
        <v>26695009000</v>
      </c>
      <c r="E62" s="68">
        <v>26764254000</v>
      </c>
      <c r="F62" s="68">
        <v>24788512000</v>
      </c>
      <c r="G62" s="68">
        <v>10054196400</v>
      </c>
      <c r="H62" s="68">
        <v>8089566700</v>
      </c>
      <c r="I62" s="68">
        <v>4106189500</v>
      </c>
      <c r="J62" s="68">
        <v>4266940400</v>
      </c>
      <c r="K62" s="68" t="s">
        <v>20</v>
      </c>
      <c r="L62" s="68">
        <v>4419600500</v>
      </c>
      <c r="M62" s="68">
        <v>2149740800</v>
      </c>
      <c r="N62" s="68">
        <v>2415555000</v>
      </c>
    </row>
    <row r="63" spans="1:14" x14ac:dyDescent="0.25">
      <c r="A63" s="68" t="s">
        <v>296</v>
      </c>
      <c r="B63" s="68"/>
      <c r="C63" s="68"/>
      <c r="D63" s="68"/>
      <c r="E63" s="68"/>
      <c r="F63" s="68"/>
      <c r="G63" s="68"/>
      <c r="H63" s="68"/>
      <c r="I63" s="68"/>
      <c r="J63" s="68"/>
      <c r="K63" s="68"/>
      <c r="L63" s="68"/>
      <c r="M63" s="68"/>
      <c r="N63" s="68"/>
    </row>
    <row r="64" spans="1:14" x14ac:dyDescent="0.25">
      <c r="A64" s="68" t="s">
        <v>297</v>
      </c>
      <c r="B64" s="68"/>
      <c r="C64" s="68"/>
      <c r="D64" s="68"/>
      <c r="E64" s="68"/>
      <c r="F64" s="68"/>
      <c r="G64" s="68"/>
      <c r="H64" s="68"/>
      <c r="I64" s="68"/>
      <c r="J64" s="68"/>
      <c r="K64" s="68"/>
      <c r="L64" s="68"/>
      <c r="M64" s="68"/>
      <c r="N64" s="68"/>
    </row>
    <row r="65" spans="1:14" x14ac:dyDescent="0.25">
      <c r="A65" s="68" t="s">
        <v>298</v>
      </c>
      <c r="B65" s="68">
        <v>17952282000</v>
      </c>
      <c r="C65" s="68">
        <v>21831653000</v>
      </c>
      <c r="D65" s="68">
        <v>12513730000</v>
      </c>
      <c r="E65" s="68">
        <v>5187317000</v>
      </c>
      <c r="F65" s="68">
        <v>5272240000</v>
      </c>
      <c r="G65" s="68">
        <v>16763873799.999998</v>
      </c>
      <c r="H65" s="68">
        <v>12544078799.999998</v>
      </c>
      <c r="I65" s="68">
        <v>13354094500</v>
      </c>
      <c r="J65" s="68">
        <v>7918754200</v>
      </c>
      <c r="K65" s="68" t="s">
        <v>20</v>
      </c>
      <c r="L65" s="68">
        <v>4645146400</v>
      </c>
      <c r="M65" s="68">
        <v>3223961599.9999995</v>
      </c>
      <c r="N65" s="68">
        <v>1737420200</v>
      </c>
    </row>
    <row r="66" spans="1:14" x14ac:dyDescent="0.25">
      <c r="A66" s="68" t="s">
        <v>299</v>
      </c>
      <c r="B66" s="68">
        <v>21831653000</v>
      </c>
      <c r="C66" s="68">
        <v>12513730000</v>
      </c>
      <c r="D66" s="68">
        <v>5187317000</v>
      </c>
      <c r="E66" s="68">
        <v>5272240000</v>
      </c>
      <c r="F66" s="68">
        <v>16763874000</v>
      </c>
      <c r="G66" s="68">
        <v>12544078799.999998</v>
      </c>
      <c r="H66" s="68">
        <v>13354094500</v>
      </c>
      <c r="I66" s="68">
        <v>7918909100</v>
      </c>
      <c r="J66" s="68">
        <v>6249410600.000001</v>
      </c>
      <c r="K66" s="68" t="s">
        <v>20</v>
      </c>
      <c r="L66" s="68">
        <v>3223961599.9999995</v>
      </c>
      <c r="M66" s="68">
        <v>1737420200</v>
      </c>
      <c r="N66" s="68">
        <v>1618035700</v>
      </c>
    </row>
    <row r="67" spans="1:14" x14ac:dyDescent="0.25">
      <c r="A67" s="68" t="s">
        <v>300</v>
      </c>
      <c r="B67" s="68">
        <v>-3879371000</v>
      </c>
      <c r="C67" s="68">
        <v>9317923000</v>
      </c>
      <c r="D67" s="68">
        <v>7326413000</v>
      </c>
      <c r="E67" s="68">
        <v>-84923000</v>
      </c>
      <c r="F67" s="68">
        <v>-11491634000</v>
      </c>
      <c r="G67" s="68">
        <v>4219795000</v>
      </c>
      <c r="H67" s="68">
        <v>-810015800</v>
      </c>
      <c r="I67" s="68">
        <v>5435185400</v>
      </c>
      <c r="J67" s="68">
        <v>1669343599.9999998</v>
      </c>
      <c r="K67" s="68" t="s">
        <v>20</v>
      </c>
      <c r="L67" s="68">
        <v>1421184800</v>
      </c>
      <c r="M67" s="68">
        <v>1486541400.0000002</v>
      </c>
      <c r="N67" s="68">
        <v>119384400</v>
      </c>
    </row>
  </sheetData>
  <mergeCells count="1">
    <mergeCell ref="A1:N1"/>
  </mergeCells>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vt:i4>
      </vt:variant>
    </vt:vector>
  </HeadingPairs>
  <TitlesOfParts>
    <vt:vector size="7" baseType="lpstr">
      <vt:lpstr>造假识别</vt:lpstr>
      <vt:lpstr>主要指标</vt:lpstr>
      <vt:lpstr>资产负债表</vt:lpstr>
      <vt:lpstr>利润表</vt:lpstr>
      <vt:lpstr>现金流量表</vt:lpstr>
      <vt:lpstr>造假识别!Print_Area</vt:lpstr>
      <vt:lpstr>造假识别!Print_Titles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creator>Unknown Creator</dc:creator>
  <cp:lastModifiedBy>wx</cp:lastModifiedBy>
  <cp:lastPrinted>2019-08-17T14:46:16Z</cp:lastPrinted>
  <dcterms:created xsi:type="dcterms:W3CDTF">2019-04-20T09:05:43Z</dcterms:created>
  <dcterms:modified xsi:type="dcterms:W3CDTF">2019-09-06T23:54:23Z</dcterms:modified>
</cp:coreProperties>
</file>